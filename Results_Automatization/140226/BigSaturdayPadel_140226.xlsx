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t_1" sheetId="1" r:id="rId5"/>
    <sheet state="visible" name="Court_2" sheetId="2" r:id="rId6"/>
    <sheet state="visible" name="Court_3" sheetId="3" r:id="rId7"/>
    <sheet state="visible" name="Court_4" sheetId="4" r:id="rId8"/>
    <sheet state="visible" name="Court_5" sheetId="5" r:id="rId9"/>
    <sheet state="visible" name="Court_6" sheetId="6" r:id="rId10"/>
    <sheet state="visible" name="Court_7" sheetId="7" r:id="rId11"/>
    <sheet state="visible" name="Court_8" sheetId="8" r:id="rId12"/>
    <sheet state="visible" name="Court_9" sheetId="9" r:id="rId13"/>
    <sheet state="visible" name="Grid" sheetId="10" r:id="rId14"/>
  </sheets>
  <definedNames/>
  <calcPr/>
</workbook>
</file>

<file path=xl/sharedStrings.xml><?xml version="1.0" encoding="utf-8"?>
<sst xmlns="http://schemas.openxmlformats.org/spreadsheetml/2006/main" count="152" uniqueCount="67">
  <si>
    <t>Points Team 1</t>
  </si>
  <si>
    <t>Points Team 2</t>
  </si>
  <si>
    <t>Winner of the court:</t>
  </si>
  <si>
    <t>Name</t>
  </si>
  <si>
    <t>Points</t>
  </si>
  <si>
    <t>Difference</t>
  </si>
  <si>
    <t>Mauricio</t>
  </si>
  <si>
    <t>Manuel</t>
  </si>
  <si>
    <t>Armen</t>
  </si>
  <si>
    <t>Vladlen</t>
  </si>
  <si>
    <t>Markus</t>
  </si>
  <si>
    <t>LaiAo</t>
  </si>
  <si>
    <t>Ilya</t>
  </si>
  <si>
    <t>Georgii</t>
  </si>
  <si>
    <t>Farhan</t>
  </si>
  <si>
    <t>Felix</t>
  </si>
  <si>
    <t>Roland</t>
  </si>
  <si>
    <t>Arbab</t>
  </si>
  <si>
    <t>Michael</t>
  </si>
  <si>
    <t>Soumi</t>
  </si>
  <si>
    <t>Stefan</t>
  </si>
  <si>
    <t>Eva</t>
  </si>
  <si>
    <t>Octavian</t>
  </si>
  <si>
    <t>JanPatrick</t>
  </si>
  <si>
    <t>Agustin</t>
  </si>
  <si>
    <t>Cesar</t>
  </si>
  <si>
    <t>Lisa-Sophie</t>
  </si>
  <si>
    <t>Manuela</t>
  </si>
  <si>
    <t>Daria</t>
  </si>
  <si>
    <t>Steffen</t>
  </si>
  <si>
    <t>Ahmed</t>
  </si>
  <si>
    <t>Margarita</t>
  </si>
  <si>
    <t>Hesham</t>
  </si>
  <si>
    <t>Lucy</t>
  </si>
  <si>
    <t>Maria K.</t>
  </si>
  <si>
    <t>Maria L.</t>
  </si>
  <si>
    <t>Nico</t>
  </si>
  <si>
    <t>Varvara</t>
  </si>
  <si>
    <t>Aleksei</t>
  </si>
  <si>
    <t>Stephanie</t>
  </si>
  <si>
    <t>Valeriia</t>
  </si>
  <si>
    <t>Elena</t>
  </si>
  <si>
    <t>Bernando</t>
  </si>
  <si>
    <t>Benjamin</t>
  </si>
  <si>
    <t>Sofia</t>
  </si>
  <si>
    <t>Kateryna</t>
  </si>
  <si>
    <t>Veronika</t>
  </si>
  <si>
    <t>Anna</t>
  </si>
  <si>
    <t>Olga</t>
  </si>
  <si>
    <t>Iana</t>
  </si>
  <si>
    <t>Court</t>
  </si>
  <si>
    <t>Pair_1_player_1</t>
  </si>
  <si>
    <t>Pair_1_player_2</t>
  </si>
  <si>
    <t>Pair_2_player_1</t>
  </si>
  <si>
    <t>Pair_2_player_2</t>
  </si>
  <si>
    <t>Pair_1_score</t>
  </si>
  <si>
    <t>Pair_2_score</t>
  </si>
  <si>
    <t>Result</t>
  </si>
  <si>
    <t>Court_1</t>
  </si>
  <si>
    <t>Court_2</t>
  </si>
  <si>
    <t>Court_3</t>
  </si>
  <si>
    <t>Court_4</t>
  </si>
  <si>
    <t>Court_5</t>
  </si>
  <si>
    <t>Court_6</t>
  </si>
  <si>
    <t>Court_7</t>
  </si>
  <si>
    <t>Court_8</t>
  </si>
  <si>
    <t>Court_9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</si>
</sst>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left" readingOrder="0" shrinkToFit="0" wrapText="1"/>
    </xf>
    <xf borderId="0" fillId="2" fontId="3" numFmtId="0" xfId="0" applyFont="1"/>
    <xf borderId="0" fillId="2" fontId="4" numFmtId="0" xfId="0" applyAlignment="1" applyFont="1">
      <alignment readingOrder="0" shrinkToFit="0" wrapText="1"/>
    </xf>
    <xf borderId="0" fillId="2" fontId="4" numFmtId="0" xfId="0" applyFont="1"/>
    <xf borderId="0" fillId="3" fontId="3" numFmtId="0" xfId="0" applyFill="1" applyFont="1"/>
    <xf borderId="0" fillId="2" fontId="1" numFmtId="0" xfId="0" applyAlignment="1" applyFont="1">
      <alignment horizontal="left"/>
    </xf>
    <xf borderId="1" fillId="2" fontId="2" numFmtId="0" xfId="0" applyAlignment="1" applyBorder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2" fontId="3" numFmtId="0" xfId="0" applyAlignment="1" applyFont="1">
      <alignment horizontal="left"/>
    </xf>
    <xf borderId="0" fillId="2" fontId="3" numFmtId="0" xfId="0" applyAlignment="1" applyFont="1">
      <alignment shrinkToFit="0" vertical="center" wrapText="0"/>
    </xf>
    <xf borderId="0" fillId="3" fontId="3" numFmtId="0" xfId="0" applyAlignment="1" applyFont="1">
      <alignment horizontal="left"/>
    </xf>
    <xf borderId="0" fillId="2" fontId="3" numFmtId="0" xfId="0" applyAlignment="1" applyFont="1">
      <alignment readingOrder="0"/>
    </xf>
    <xf borderId="0" fillId="0" fontId="5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4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9">
    <tableStyle count="4" pivot="0" name="Court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t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t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t_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t_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t_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t_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t_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t_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-173050200</xdr:rowOff>
    </xdr:from>
    <xdr:ext cx="11896725" cy="9115425"/>
    <xdr:sp>
      <xdr:nvSpPr>
        <xdr:cNvPr id="3" name="Shape 3"/>
        <xdr:cNvSpPr/>
      </xdr:nvSpPr>
      <xdr:spPr>
        <a:xfrm>
          <a:off x="304150" y="24750"/>
          <a:ext cx="12363900" cy="9094500"/>
        </a:xfrm>
        <a:prstGeom prst="rect">
          <a:avLst/>
        </a:prstGeom>
        <a:solidFill>
          <a:srgbClr val="CC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-173050200</xdr:rowOff>
    </xdr:from>
    <xdr:ext cx="11896725" cy="9115425"/>
    <xdr:sp>
      <xdr:nvSpPr>
        <xdr:cNvPr id="3" name="Shape 3"/>
        <xdr:cNvSpPr/>
      </xdr:nvSpPr>
      <xdr:spPr>
        <a:xfrm>
          <a:off x="304150" y="24750"/>
          <a:ext cx="12363900" cy="9094500"/>
        </a:xfrm>
        <a:prstGeom prst="rect">
          <a:avLst/>
        </a:prstGeom>
        <a:solidFill>
          <a:srgbClr val="CC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-173050200</xdr:rowOff>
    </xdr:from>
    <xdr:ext cx="11896725" cy="9115425"/>
    <xdr:sp>
      <xdr:nvSpPr>
        <xdr:cNvPr id="3" name="Shape 3"/>
        <xdr:cNvSpPr/>
      </xdr:nvSpPr>
      <xdr:spPr>
        <a:xfrm>
          <a:off x="304150" y="24750"/>
          <a:ext cx="12363900" cy="9094500"/>
        </a:xfrm>
        <a:prstGeom prst="rect">
          <a:avLst/>
        </a:prstGeom>
        <a:solidFill>
          <a:srgbClr val="CC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-173050200</xdr:rowOff>
    </xdr:from>
    <xdr:ext cx="11896725" cy="9115425"/>
    <xdr:sp>
      <xdr:nvSpPr>
        <xdr:cNvPr id="3" name="Shape 3"/>
        <xdr:cNvSpPr/>
      </xdr:nvSpPr>
      <xdr:spPr>
        <a:xfrm>
          <a:off x="304150" y="24750"/>
          <a:ext cx="12363900" cy="9094500"/>
        </a:xfrm>
        <a:prstGeom prst="rect">
          <a:avLst/>
        </a:prstGeom>
        <a:solidFill>
          <a:srgbClr val="CC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-173050200</xdr:rowOff>
    </xdr:from>
    <xdr:ext cx="11896725" cy="9115425"/>
    <xdr:sp>
      <xdr:nvSpPr>
        <xdr:cNvPr id="3" name="Shape 3"/>
        <xdr:cNvSpPr/>
      </xdr:nvSpPr>
      <xdr:spPr>
        <a:xfrm>
          <a:off x="304150" y="24750"/>
          <a:ext cx="12363900" cy="9094500"/>
        </a:xfrm>
        <a:prstGeom prst="rect">
          <a:avLst/>
        </a:prstGeom>
        <a:solidFill>
          <a:srgbClr val="CC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-173050200</xdr:rowOff>
    </xdr:from>
    <xdr:ext cx="11896725" cy="9115425"/>
    <xdr:sp>
      <xdr:nvSpPr>
        <xdr:cNvPr id="3" name="Shape 3"/>
        <xdr:cNvSpPr/>
      </xdr:nvSpPr>
      <xdr:spPr>
        <a:xfrm>
          <a:off x="304150" y="24750"/>
          <a:ext cx="12363900" cy="9094500"/>
        </a:xfrm>
        <a:prstGeom prst="rect">
          <a:avLst/>
        </a:prstGeom>
        <a:solidFill>
          <a:srgbClr val="CC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-173050200</xdr:rowOff>
    </xdr:from>
    <xdr:ext cx="11896725" cy="9115425"/>
    <xdr:sp>
      <xdr:nvSpPr>
        <xdr:cNvPr id="3" name="Shape 3"/>
        <xdr:cNvSpPr/>
      </xdr:nvSpPr>
      <xdr:spPr>
        <a:xfrm>
          <a:off x="304150" y="24750"/>
          <a:ext cx="12363900" cy="9094500"/>
        </a:xfrm>
        <a:prstGeom prst="rect">
          <a:avLst/>
        </a:prstGeom>
        <a:solidFill>
          <a:srgbClr val="CC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-173050200</xdr:rowOff>
    </xdr:from>
    <xdr:ext cx="11896725" cy="9115425"/>
    <xdr:sp>
      <xdr:nvSpPr>
        <xdr:cNvPr id="3" name="Shape 3"/>
        <xdr:cNvSpPr/>
      </xdr:nvSpPr>
      <xdr:spPr>
        <a:xfrm>
          <a:off x="304150" y="24750"/>
          <a:ext cx="12363900" cy="9094500"/>
        </a:xfrm>
        <a:prstGeom prst="rect">
          <a:avLst/>
        </a:prstGeom>
        <a:solidFill>
          <a:srgbClr val="CC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-173050200</xdr:rowOff>
    </xdr:from>
    <xdr:ext cx="11896725" cy="9115425"/>
    <xdr:sp>
      <xdr:nvSpPr>
        <xdr:cNvPr id="3" name="Shape 3"/>
        <xdr:cNvSpPr/>
      </xdr:nvSpPr>
      <xdr:spPr>
        <a:xfrm>
          <a:off x="304150" y="24750"/>
          <a:ext cx="12363900" cy="9094500"/>
        </a:xfrm>
        <a:prstGeom prst="rect">
          <a:avLst/>
        </a:prstGeom>
        <a:solidFill>
          <a:srgbClr val="CC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F3:H9" displayName="Court_1_Results" name="Court_1_Results" id="1">
  <tableColumns count="3">
    <tableColumn name="Name" id="1"/>
    <tableColumn name="Points" id="2"/>
    <tableColumn name="Difference" id="3"/>
  </tableColumns>
  <tableStyleInfo name="Court_1-style" showColumnStripes="0" showFirstColumn="1" showLastColumn="1" showRowStripes="1"/>
</table>
</file>

<file path=xl/tables/table2.xml><?xml version="1.0" encoding="utf-8"?>
<table xmlns="http://schemas.openxmlformats.org/spreadsheetml/2006/main" ref="F3:H9" displayName="Court_2_Results" name="Court_2_Results" id="2">
  <tableColumns count="3">
    <tableColumn name="Name" id="1"/>
    <tableColumn name="Points" id="2"/>
    <tableColumn name="Difference" id="3"/>
  </tableColumns>
  <tableStyleInfo name="Court_2-style" showColumnStripes="0" showFirstColumn="1" showLastColumn="1" showRowStripes="1"/>
</table>
</file>

<file path=xl/tables/table3.xml><?xml version="1.0" encoding="utf-8"?>
<table xmlns="http://schemas.openxmlformats.org/spreadsheetml/2006/main" ref="F3:H9" displayName="Court_3_Results" name="Court_3_Results" id="3">
  <tableColumns count="3">
    <tableColumn name="Name" id="1"/>
    <tableColumn name="Points" id="2"/>
    <tableColumn name="Difference" id="3"/>
  </tableColumns>
  <tableStyleInfo name="Court_3-style" showColumnStripes="0" showFirstColumn="1" showLastColumn="1" showRowStripes="1"/>
</table>
</file>

<file path=xl/tables/table4.xml><?xml version="1.0" encoding="utf-8"?>
<table xmlns="http://schemas.openxmlformats.org/spreadsheetml/2006/main" ref="F3:H9" displayName="Court_4_Results" name="Court_4_Results" id="4">
  <tableColumns count="3">
    <tableColumn name="Name" id="1"/>
    <tableColumn name="Points" id="2"/>
    <tableColumn name="Difference" id="3"/>
  </tableColumns>
  <tableStyleInfo name="Court_4-style" showColumnStripes="0" showFirstColumn="1" showLastColumn="1" showRowStripes="1"/>
</table>
</file>

<file path=xl/tables/table5.xml><?xml version="1.0" encoding="utf-8"?>
<table xmlns="http://schemas.openxmlformats.org/spreadsheetml/2006/main" ref="F3:H9" displayName="Court_5" name="Court_5" id="5">
  <tableColumns count="3">
    <tableColumn name="Name" id="1"/>
    <tableColumn name="Points" id="2"/>
    <tableColumn name="Difference" id="3"/>
  </tableColumns>
  <tableStyleInfo name="Court_5-style" showColumnStripes="0" showFirstColumn="1" showLastColumn="1" showRowStripes="1"/>
</table>
</file>

<file path=xl/tables/table6.xml><?xml version="1.0" encoding="utf-8"?>
<table xmlns="http://schemas.openxmlformats.org/spreadsheetml/2006/main" ref="F3:H9" displayName="Court_6" name="Court_6" id="6">
  <tableColumns count="3">
    <tableColumn name="Name" id="1"/>
    <tableColumn name="Points" id="2"/>
    <tableColumn name="Difference" id="3"/>
  </tableColumns>
  <tableStyleInfo name="Court_6-style" showColumnStripes="0" showFirstColumn="1" showLastColumn="1" showRowStripes="1"/>
</table>
</file>

<file path=xl/tables/table7.xml><?xml version="1.0" encoding="utf-8"?>
<table xmlns="http://schemas.openxmlformats.org/spreadsheetml/2006/main" ref="F3:H9" displayName="Court_7" name="Court_7" id="7">
  <tableColumns count="3">
    <tableColumn name="Name" id="1"/>
    <tableColumn name="Points" id="2"/>
    <tableColumn name="Difference" id="3"/>
  </tableColumns>
  <tableStyleInfo name="Court_7-style" showColumnStripes="0" showFirstColumn="1" showLastColumn="1" showRowStripes="1"/>
</table>
</file>

<file path=xl/tables/table8.xml><?xml version="1.0" encoding="utf-8"?>
<table xmlns="http://schemas.openxmlformats.org/spreadsheetml/2006/main" ref="F3:H9" displayName="Court_8" name="Court_8" id="8">
  <tableColumns count="3">
    <tableColumn name="Name" id="1"/>
    <tableColumn name="Points" id="2"/>
    <tableColumn name="Difference" id="3"/>
  </tableColumns>
  <tableStyleInfo name="Court_8-style" showColumnStripes="0" showFirstColumn="1" showLastColumn="1" showRowStripes="1"/>
</table>
</file>

<file path=xl/tables/table9.xml><?xml version="1.0" encoding="utf-8"?>
<table xmlns="http://schemas.openxmlformats.org/spreadsheetml/2006/main" ref="F3:H9" displayName="Court_9" name="Court_9" id="9">
  <tableColumns count="3">
    <tableColumn name="Name" id="1"/>
    <tableColumn name="Points" id="2"/>
    <tableColumn name="Difference" id="3"/>
  </tableColumns>
  <tableStyleInfo name="Court_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3" width="5.25"/>
    <col customWidth="1" min="4" max="4" width="7.5"/>
    <col customWidth="1" min="8" max="8" width="13.0"/>
  </cols>
  <sheetData>
    <row r="1">
      <c r="A1" s="1"/>
      <c r="B1" s="2" t="s">
        <v>0</v>
      </c>
      <c r="C1" s="3" t="s">
        <v>1</v>
      </c>
      <c r="D1" s="1"/>
      <c r="E1" s="4"/>
      <c r="F1" s="4"/>
      <c r="G1" s="4"/>
      <c r="H1" s="5" t="s">
        <v>2</v>
      </c>
      <c r="I1" s="6" t="str">
        <f t="array" ref="I1">INDEX(F4:F8, MATCH( MAX( IF(G4:G8=MAX(G4:G8), H4:H8) ), H4:H8, 0))
</f>
        <v>Manuel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/>
      <c r="B2" s="1"/>
      <c r="C2" s="8"/>
      <c r="D2" s="1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 t="str">
        <f>F5 &amp; " " &amp; F6</f>
        <v>Manuel Armen</v>
      </c>
      <c r="B3" s="10">
        <v>5.0</v>
      </c>
      <c r="C3" s="10">
        <v>2.0</v>
      </c>
      <c r="D3" s="9" t="str">
        <f>F7 &amp; " " &amp; F8</f>
        <v>Vladlen Markus</v>
      </c>
      <c r="E3" s="4"/>
      <c r="F3" s="11" t="s">
        <v>3</v>
      </c>
      <c r="G3" s="11" t="s">
        <v>4</v>
      </c>
      <c r="H3" s="11" t="s">
        <v>5</v>
      </c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 t="str">
        <f>F4 &amp; " " &amp; F7</f>
        <v>Mauricio Vladlen</v>
      </c>
      <c r="B4" s="10">
        <v>8.0</v>
      </c>
      <c r="C4" s="10">
        <v>2.0</v>
      </c>
      <c r="D4" s="9" t="str">
        <f>F6 &amp; " " &amp; F8</f>
        <v>Armen Markus</v>
      </c>
      <c r="E4" s="4"/>
      <c r="F4" s="12" t="s">
        <v>6</v>
      </c>
      <c r="G4" s="13">
        <f>SUMPRODUCT(((B4:B7&gt;C4:C7)*1 + (B4:B7=C4:C7)*0.5) * (B4:B7&lt;&gt;"") * (C4:C7&lt;&gt;""))
</f>
        <v>3</v>
      </c>
      <c r="H4" s="13">
        <f>SUM(B4:B7)-SUM(C4:C7)</f>
        <v>6</v>
      </c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tr">
        <f>F4 &amp; " " &amp; F8</f>
        <v>Mauricio Markus</v>
      </c>
      <c r="B5" s="10">
        <v>2.0</v>
      </c>
      <c r="C5" s="10">
        <v>8.0</v>
      </c>
      <c r="D5" s="9" t="str">
        <f>F5 &amp; " " &amp; F7</f>
        <v>Manuel Vladlen</v>
      </c>
      <c r="E5" s="4"/>
      <c r="F5" s="12" t="s">
        <v>7</v>
      </c>
      <c r="G5" s="13">
        <f>(AND(B3&lt;&gt;"",C3&lt;&gt;"")*(B3&gt;C3))*1 + (AND(B3&lt;&gt;"",C3&lt;&gt;"")*(B3=C3))*0.5
+ (AND(B5&lt;&gt;"",C5&lt;&gt;"")*(B5&lt;C5))*1 + (AND(B5&lt;&gt;"",C5&lt;&gt;"")*(B5=C5))*0.5
+ (AND(B6&lt;&gt;"",C6&lt;&gt;"")*(B6&lt;C6))*1 + (AND(B6&lt;&gt;"",C6&lt;&gt;"")*(B6=C6))*0.5
+ (AND(B7&lt;&gt;"",C7&lt;&gt;"")*(B7&gt;C7))*1 + (AND(B7&lt;&gt;"",C7&lt;&gt;"")*(B7=C7))*0.5
</f>
        <v>3</v>
      </c>
      <c r="H5" s="13">
        <f>B3+SUM(C5:C6)+B7-C3-SUM(B5:B6)-C7</f>
        <v>11</v>
      </c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 t="str">
        <f>F4 &amp; " " &amp; F6</f>
        <v>Mauricio Armen</v>
      </c>
      <c r="B6" s="10">
        <v>4.0</v>
      </c>
      <c r="C6" s="10">
        <v>2.0</v>
      </c>
      <c r="D6" s="9" t="str">
        <f>F5 &amp; " " &amp; F8</f>
        <v>Manuel Markus</v>
      </c>
      <c r="E6" s="4"/>
      <c r="F6" s="12" t="s">
        <v>8</v>
      </c>
      <c r="G6" s="13">
        <f>(AND(B3&lt;&gt;"",C3&lt;&gt;"")*(B3&gt;C3))*1 + (AND(B3&lt;&gt;"",C3&lt;&gt;"")*(B3=C3))*0.5
+ (AND(B4&lt;&gt;"",C4&lt;&gt;"")*(B4&lt;C4))*1 + (AND(B4&lt;&gt;"",C4&lt;&gt;"")*(B4=C4))*0.5
+ (AND(B6&lt;&gt;"",C6&lt;&gt;"")*(B6&gt;C6))*1 + (AND(B6&lt;&gt;"",C6&lt;&gt;"")*(B6=C6))*0.5
+ (AND(B7&lt;&gt;"",C7&lt;&gt;"")*(B7&lt;C7))*1 + (AND(B7&lt;&gt;"",C7&lt;&gt;"")*(B7=C7))*0.5
</f>
        <v>2</v>
      </c>
      <c r="H6" s="13">
        <f>B3+C4+B6+C7-C3-B4-C6-B7</f>
        <v>-5</v>
      </c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 t="str">
        <f>F4 &amp; " " &amp; F5</f>
        <v>Mauricio Manuel</v>
      </c>
      <c r="B7" s="10">
        <v>7.0</v>
      </c>
      <c r="C7" s="10">
        <v>3.0</v>
      </c>
      <c r="D7" s="9" t="str">
        <f>F6 &amp; " " &amp; F7</f>
        <v>Armen Vladlen</v>
      </c>
      <c r="E7" s="4"/>
      <c r="F7" s="12" t="s">
        <v>9</v>
      </c>
      <c r="G7" s="13">
        <f>(AND(B3&lt;&gt;"",C3&lt;&gt;"")*(B3&lt;C3))*1 + (AND(B3&lt;&gt;"",C3&lt;&gt;"")*(B3=C3))*0.5
+ (AND(B4&lt;&gt;"",C4&lt;&gt;"")*(B4&gt;C4))*1 + (AND(B4&lt;&gt;"",C4&lt;&gt;"")*(B4=C4))*0.5
+ (AND(B5&lt;&gt;"",C5&lt;&gt;"")*(B5&lt;C5))*1 + (AND(B5&lt;&gt;"",C5&lt;&gt;"")*(B5=C5))*0.5
+ (AND(B7&lt;&gt;"",C7&lt;&gt;"")*(B7&lt;C7))*1 + (AND(B7&lt;&gt;"",C7&lt;&gt;"")*(B7=C7))*0.5
</f>
        <v>2</v>
      </c>
      <c r="H7" s="13">
        <f>C3+B4+C5+C7-B3-C4-B5-B7</f>
        <v>5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4"/>
      <c r="B8" s="4"/>
      <c r="C8" s="14"/>
      <c r="D8" s="4"/>
      <c r="E8" s="4"/>
      <c r="F8" s="12" t="s">
        <v>10</v>
      </c>
      <c r="G8" s="13">
        <f>(AND(B3&lt;&gt;"",C3&lt;&gt;"")*(B3&lt;C3))*1 + (AND(B3&lt;&gt;"",C3&lt;&gt;"")*(B3=C3))*0.5
+ (AND(B4&lt;&gt;"",C4&lt;&gt;"")*(B4&lt;C4))*1 + (AND(B4&lt;&gt;"",C4&lt;&gt;"")*(B4=C4))*0.5
+ (AND(B5&lt;&gt;"",C5&lt;&gt;"")*(B5&gt;C5))*1 + (AND(B5&lt;&gt;"",C5&lt;&gt;"")*(B5=C5))*0.5
+ (AND(B6&lt;&gt;"",C6&lt;&gt;"")*(B6&lt;C6))*1 + (AND(B6&lt;&gt;"",C6&lt;&gt;"")*(B6=C6))*0.5
</f>
        <v>0</v>
      </c>
      <c r="H8" s="13">
        <f>SUM(C3:C4)+B5+C6-SUM(B3:B4)-C5-B6</f>
        <v>-17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4"/>
      <c r="B9" s="4"/>
      <c r="C9" s="14"/>
      <c r="D9" s="4"/>
      <c r="E9" s="4"/>
      <c r="F9" s="15"/>
      <c r="G9" s="15"/>
      <c r="H9" s="15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1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1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1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1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1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1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1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1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1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1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1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1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1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1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1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1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1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1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1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1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1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1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1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1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1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1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1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1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1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1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1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1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1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1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1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1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1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1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1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1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1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1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1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1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1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1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1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1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1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1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1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1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1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1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1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1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1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1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1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1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1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1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1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1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1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1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1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1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1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1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1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1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1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1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1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1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1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1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1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1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1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1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1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1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1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1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1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1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1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1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1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1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1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1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1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1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1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1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1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1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1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1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1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1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1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1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1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1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1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1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1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1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1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1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1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1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1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1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1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1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1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1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1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1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1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1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1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1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1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1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1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1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1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1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1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1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1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1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1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1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1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1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1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1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1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1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1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1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1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1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1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1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1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1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1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1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1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1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1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1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1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1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1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1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1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1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1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1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1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1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1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1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1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1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1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1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1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1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1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1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1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1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1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1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1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1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1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1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1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1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1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1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1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1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1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1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1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1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1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1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1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1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1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1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1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1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1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1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1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1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1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1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1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1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1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1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1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1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1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1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1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1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1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1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1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1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1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1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1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1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1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1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1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1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1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1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1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1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1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1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1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1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1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1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1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1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1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1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1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1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1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1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1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1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1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1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1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1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1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1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1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1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1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1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1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1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1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1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1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1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1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1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1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1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1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1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1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1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1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1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1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1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1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1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1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1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1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1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1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1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1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1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1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1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1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1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1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1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1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1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1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1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1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1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1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1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1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1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1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1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1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1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1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1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1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1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1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1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1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1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1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1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1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1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1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1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1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1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1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1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1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1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1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1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1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1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1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1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1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1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1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1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1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1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1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1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1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1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1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1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1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1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1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1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1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1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1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1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1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1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1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1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1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1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1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1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1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1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1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1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1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1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1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1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1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1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1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1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1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1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1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1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1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1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1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1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1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1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1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1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1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1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1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1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1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1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1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1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1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1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1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1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1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1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1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1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1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1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1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1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1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1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1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1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1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1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1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1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1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1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1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1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1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1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1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1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1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1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1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1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1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1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1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1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1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1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1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1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1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1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1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1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1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1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1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1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1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1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1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1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1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1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1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1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1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1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1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1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1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1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1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1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1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1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1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1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1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1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1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1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1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1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1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1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1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1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1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1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1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1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1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1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1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1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1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1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1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1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1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1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1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1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1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1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1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1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1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1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1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1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1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1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1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1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1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1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1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1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1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1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1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1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1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1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1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1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1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1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1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1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1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1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1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1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1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1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1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1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1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1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1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1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1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1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1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1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1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1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1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1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1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1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1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1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1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1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1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1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1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1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1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1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1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1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1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1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1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1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1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1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1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1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1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1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1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1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1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1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1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1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1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1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1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1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1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1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1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1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1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1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1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1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1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1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1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1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1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1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1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1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1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1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1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1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1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1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1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1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1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1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1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1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1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1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1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1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1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1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1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1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1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1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1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1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1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1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1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1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1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1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1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1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1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1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1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1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1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1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1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1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1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1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1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1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1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1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1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1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1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1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1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1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1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1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1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1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1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1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1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1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1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1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1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1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1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1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1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1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1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1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1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1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1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1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1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1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1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1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1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1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1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1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1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1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1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1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1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1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1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1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1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1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1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1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1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1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1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1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1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1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1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1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1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1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1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1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1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1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1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1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1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1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1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1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1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1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1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1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1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1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1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1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1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1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1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1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1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1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1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1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1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1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1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1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1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1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1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1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1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1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1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1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1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1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1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1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1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1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1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1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1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1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1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1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1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1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1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1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1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1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1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1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1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1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1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1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1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1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1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1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1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1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1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1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1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1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1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1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1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1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1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1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1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1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1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1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1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1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1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1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1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1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1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1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1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1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1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1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1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1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1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1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1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1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1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1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1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1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1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1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1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1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1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1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1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1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1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1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1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1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1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1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1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1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1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1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1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1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1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1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1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1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1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1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1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1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1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1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1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1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1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1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1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1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1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1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1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1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1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1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1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1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1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1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1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1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1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1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1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1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1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1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1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1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1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1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1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1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1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1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1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1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1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1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1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1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1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1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1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1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1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1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1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1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1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1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1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1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1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1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1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1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1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1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1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1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1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1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1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1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1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1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1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1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1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1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1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1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1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1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1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1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1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1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1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1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1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1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1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1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1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1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1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1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1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1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1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1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1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1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1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1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1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1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1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1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1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1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1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1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1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1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1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1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1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1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1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1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1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1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1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1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1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1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1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1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1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1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1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1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1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1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1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1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1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1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1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1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1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1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1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1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1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1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1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1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1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1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1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1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1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1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1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1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1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1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1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1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1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1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1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16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3" width="5.25"/>
    <col customWidth="1" min="4" max="4" width="6.25"/>
    <col customWidth="1" min="8" max="8" width="13.0"/>
  </cols>
  <sheetData>
    <row r="1">
      <c r="A1" s="1"/>
      <c r="B1" s="2" t="s">
        <v>0</v>
      </c>
      <c r="C1" s="2" t="s">
        <v>1</v>
      </c>
      <c r="D1" s="1"/>
      <c r="E1" s="4"/>
      <c r="F1" s="4"/>
      <c r="G1" s="4"/>
      <c r="H1" s="5" t="s">
        <v>2</v>
      </c>
      <c r="I1" s="6" t="str">
        <f t="array" ref="I1">INDEX(F4:F8, MATCH( MAX( IF(G4:G8=MAX(G4:G8), H4:H8) ), H4:H8, 0))
</f>
        <v>Ilya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/>
      <c r="B2" s="1"/>
      <c r="C2" s="1"/>
      <c r="D2" s="1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 t="str">
        <f>F5 &amp; " " &amp; F6</f>
        <v>Ilya Georgii</v>
      </c>
      <c r="B3" s="10">
        <v>3.0</v>
      </c>
      <c r="C3" s="10">
        <v>3.0</v>
      </c>
      <c r="D3" s="9" t="str">
        <f>F7 &amp; " " &amp; F8</f>
        <v>Farhan Felix</v>
      </c>
      <c r="E3" s="4"/>
      <c r="F3" s="11" t="s">
        <v>3</v>
      </c>
      <c r="G3" s="11" t="s">
        <v>4</v>
      </c>
      <c r="H3" s="11" t="s">
        <v>5</v>
      </c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 t="str">
        <f>F4 &amp; " " &amp; F7</f>
        <v>LaiAo Farhan</v>
      </c>
      <c r="B4" s="10">
        <v>5.0</v>
      </c>
      <c r="C4" s="10">
        <v>2.0</v>
      </c>
      <c r="D4" s="9" t="str">
        <f>F6 &amp; " " &amp; F8</f>
        <v>Georgii Felix</v>
      </c>
      <c r="E4" s="4"/>
      <c r="F4" s="12" t="s">
        <v>11</v>
      </c>
      <c r="G4" s="13">
        <f>SUMPRODUCT(((B4:B7&gt;C4:C7)*1 + (B4:B7=C4:C7)*0.5) * (B4:B7&lt;&gt;"") * (C4:C7&lt;&gt;""))
</f>
        <v>2.5</v>
      </c>
      <c r="H4" s="13">
        <f>SUM(B4:B7)-SUM(C4:C7)</f>
        <v>5</v>
      </c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tr">
        <f>F4 &amp; " " &amp; F8</f>
        <v>LaiAo Felix</v>
      </c>
      <c r="B5" s="10">
        <v>3.0</v>
      </c>
      <c r="C5" s="10">
        <v>5.0</v>
      </c>
      <c r="D5" s="9" t="str">
        <f>F5 &amp; " " &amp; F7</f>
        <v>Ilya Farhan</v>
      </c>
      <c r="E5" s="4"/>
      <c r="F5" s="12" t="s">
        <v>12</v>
      </c>
      <c r="G5" s="13">
        <f>(AND(B3&lt;&gt;"",C3&lt;&gt;"")*(B3&gt;C3))*1 + (AND(B3&lt;&gt;"",C3&lt;&gt;"")*(B3=C3))*0.5
+ (AND(B5&lt;&gt;"",C5&lt;&gt;"")*(B5&lt;C5))*1 + (AND(B5&lt;&gt;"",C5&lt;&gt;"")*(B5=C5))*0.5
+ (AND(B6&lt;&gt;"",C6&lt;&gt;"")*(B6&lt;C6))*1 + (AND(B6&lt;&gt;"",C6&lt;&gt;"")*(B6=C6))*0.5
+ (AND(B7&lt;&gt;"",C7&lt;&gt;"")*(B7&gt;C7))*1 + (AND(B7&lt;&gt;"",C7&lt;&gt;"")*(B7=C7))*0.5
</f>
        <v>3</v>
      </c>
      <c r="H5" s="13">
        <f>B3+SUM(C5:C6)+B7-C3-SUM(B5:B6)-C7</f>
        <v>6</v>
      </c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 t="str">
        <f>F4 &amp; " " &amp; F6</f>
        <v>LaiAo Georgii</v>
      </c>
      <c r="B6" s="10">
        <v>4.0</v>
      </c>
      <c r="C6" s="10">
        <v>4.0</v>
      </c>
      <c r="D6" s="9" t="str">
        <f>F5 &amp; " " &amp; F8</f>
        <v>Ilya Felix</v>
      </c>
      <c r="E6" s="4"/>
      <c r="F6" s="12" t="s">
        <v>13</v>
      </c>
      <c r="G6" s="13">
        <f>(AND(B3&lt;&gt;"",C3&lt;&gt;"")*(B3&gt;C3))*1 + (AND(B3&lt;&gt;"",C3&lt;&gt;"")*(B3=C3))*0.5
+ (AND(B4&lt;&gt;"",C4&lt;&gt;"")*(B4&lt;C4))*1 + (AND(B4&lt;&gt;"",C4&lt;&gt;"")*(B4=C4))*0.5
+ (AND(B6&lt;&gt;"",C6&lt;&gt;"")*(B6&gt;C6))*1 + (AND(B6&lt;&gt;"",C6&lt;&gt;"")*(B6=C6))*0.5
+ (AND(B7&lt;&gt;"",C7&lt;&gt;"")*(B7&lt;C7))*1 + (AND(B7&lt;&gt;"",C7&lt;&gt;"")*(B7=C7))*0.5
</f>
        <v>1</v>
      </c>
      <c r="H6" s="13">
        <f>B3+C4+B6+C7-C3-B4-C6-B7</f>
        <v>-7</v>
      </c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 t="str">
        <f>F4 &amp; " " &amp; F5</f>
        <v>LaiAo Ilya</v>
      </c>
      <c r="B7" s="10">
        <v>5.0</v>
      </c>
      <c r="C7" s="10">
        <v>1.0</v>
      </c>
      <c r="D7" s="9" t="str">
        <f>F6 &amp; " " &amp; F7</f>
        <v>Georgii Farhan</v>
      </c>
      <c r="E7" s="4"/>
      <c r="F7" s="12" t="s">
        <v>14</v>
      </c>
      <c r="G7" s="13">
        <f>(AND(B3&lt;&gt;"",C3&lt;&gt;"")*(B3&lt;C3))*1 + (AND(B3&lt;&gt;"",C3&lt;&gt;"")*(B3=C3))*0.5
+ (AND(B4&lt;&gt;"",C4&lt;&gt;"")*(B4&gt;C4))*1 + (AND(B4&lt;&gt;"",C4&lt;&gt;"")*(B4=C4))*0.5
+ (AND(B5&lt;&gt;"",C5&lt;&gt;"")*(B5&lt;C5))*1 + (AND(B5&lt;&gt;"",C5&lt;&gt;"")*(B5=C5))*0.5
+ (AND(B7&lt;&gt;"",C7&lt;&gt;"")*(B7&lt;C7))*1 + (AND(B7&lt;&gt;"",C7&lt;&gt;"")*(B7=C7))*0.5
</f>
        <v>2.5</v>
      </c>
      <c r="H7" s="13">
        <f>C3+B4+C5+C7-B3-C4-B5-B7</f>
        <v>1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4"/>
      <c r="B8" s="4"/>
      <c r="C8" s="4"/>
      <c r="D8" s="4"/>
      <c r="E8" s="4"/>
      <c r="F8" s="12" t="s">
        <v>15</v>
      </c>
      <c r="G8" s="13">
        <f>(AND(B3&lt;&gt;"",C3&lt;&gt;"")*(B3&lt;C3))*1 + (AND(B3&lt;&gt;"",C3&lt;&gt;"")*(B3=C3))*0.5
+ (AND(B4&lt;&gt;"",C4&lt;&gt;"")*(B4&lt;C4))*1 + (AND(B4&lt;&gt;"",C4&lt;&gt;"")*(B4=C4))*0.5
+ (AND(B5&lt;&gt;"",C5&lt;&gt;"")*(B5&gt;C5))*1 + (AND(B5&lt;&gt;"",C5&lt;&gt;"")*(B5=C5))*0.5
+ (AND(B6&lt;&gt;"",C6&lt;&gt;"")*(B6&lt;C6))*1 + (AND(B6&lt;&gt;"",C6&lt;&gt;"")*(B6=C6))*0.5
</f>
        <v>1</v>
      </c>
      <c r="H8" s="13">
        <f>SUM(C3:C4)+B5+C6-SUM(B3:B4)-C5-B6</f>
        <v>-5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4"/>
      <c r="B9" s="4"/>
      <c r="C9" s="4"/>
      <c r="D9" s="4"/>
      <c r="E9" s="4"/>
      <c r="F9" s="15"/>
      <c r="G9" s="15"/>
      <c r="H9" s="15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3" width="5.25"/>
    <col customWidth="1" min="4" max="4" width="6.25"/>
    <col customWidth="1" min="8" max="8" width="13.0"/>
  </cols>
  <sheetData>
    <row r="1">
      <c r="A1" s="1"/>
      <c r="B1" s="2" t="s">
        <v>0</v>
      </c>
      <c r="C1" s="2" t="s">
        <v>1</v>
      </c>
      <c r="D1" s="1"/>
      <c r="E1" s="4"/>
      <c r="F1" s="4"/>
      <c r="G1" s="4"/>
      <c r="H1" s="5" t="s">
        <v>2</v>
      </c>
      <c r="I1" s="6" t="str">
        <f t="array" ref="I1">INDEX(F4:F8, MATCH( MAX( IF(G4:G8=MAX(G4:G8), H4:H8) ), H4:H8, 0))
</f>
        <v>Michael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/>
      <c r="B2" s="1"/>
      <c r="C2" s="1"/>
      <c r="D2" s="1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 t="str">
        <f>F5 &amp; " " &amp; F6</f>
        <v>Arbab Michael</v>
      </c>
      <c r="B3" s="10">
        <v>6.0</v>
      </c>
      <c r="C3" s="10">
        <v>6.0</v>
      </c>
      <c r="D3" s="9" t="str">
        <f>F7 &amp; " " &amp; F8</f>
        <v>Soumi Stefan</v>
      </c>
      <c r="E3" s="4"/>
      <c r="F3" s="11" t="s">
        <v>3</v>
      </c>
      <c r="G3" s="11" t="s">
        <v>4</v>
      </c>
      <c r="H3" s="11" t="s">
        <v>5</v>
      </c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 t="str">
        <f>F4 &amp; " " &amp; F7</f>
        <v>Roland Soumi</v>
      </c>
      <c r="B4" s="10">
        <v>4.0</v>
      </c>
      <c r="C4" s="10">
        <v>4.0</v>
      </c>
      <c r="D4" s="9" t="str">
        <f>F6 &amp; " " &amp; F8</f>
        <v>Michael Stefan</v>
      </c>
      <c r="E4" s="4"/>
      <c r="F4" s="12" t="s">
        <v>16</v>
      </c>
      <c r="G4" s="13">
        <f>SUMPRODUCT(((B4:B7&gt;C4:C7)*1 + (B4:B7=C4:C7)*0.5) * (B4:B7&lt;&gt;"") * (C4:C7&lt;&gt;""))
</f>
        <v>1.5</v>
      </c>
      <c r="H4" s="13">
        <f>SUM(B4:B7)-SUM(C4:C7)</f>
        <v>0</v>
      </c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tr">
        <f>F4 &amp; " " &amp; F8</f>
        <v>Roland Stefan</v>
      </c>
      <c r="B5" s="10">
        <v>2.0</v>
      </c>
      <c r="C5" s="10">
        <v>5.0</v>
      </c>
      <c r="D5" s="9" t="str">
        <f>F5 &amp; " " &amp; F7</f>
        <v>Arbab Soumi</v>
      </c>
      <c r="E5" s="4"/>
      <c r="F5" s="12" t="s">
        <v>17</v>
      </c>
      <c r="G5" s="13">
        <f>(AND(B3&lt;&gt;"",C3&lt;&gt;"")*(B3&gt;C3))*1 + (AND(B3&lt;&gt;"",C3&lt;&gt;"")*(B3=C3))*0.5
+ (AND(B5&lt;&gt;"",C5&lt;&gt;"")*(B5&lt;C5))*1 + (AND(B5&lt;&gt;"",C5&lt;&gt;"")*(B5=C5))*0.5
+ (AND(B6&lt;&gt;"",C6&lt;&gt;"")*(B6&lt;C6))*1 + (AND(B6&lt;&gt;"",C6&lt;&gt;"")*(B6=C6))*0.5
+ (AND(B7&lt;&gt;"",C7&lt;&gt;"")*(B7&gt;C7))*1 + (AND(B7&lt;&gt;"",C7&lt;&gt;"")*(B7=C7))*0.5
</f>
        <v>1.5</v>
      </c>
      <c r="H5" s="13">
        <f>B3+SUM(C5:C6)+B7-C3-SUM(B5:B6)-C7</f>
        <v>-2</v>
      </c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 t="str">
        <f>F4 &amp; " " &amp; F6</f>
        <v>Roland Michael</v>
      </c>
      <c r="B6" s="10">
        <v>6.0</v>
      </c>
      <c r="C6" s="10">
        <v>2.0</v>
      </c>
      <c r="D6" s="9" t="str">
        <f>F5 &amp; " " &amp; F8</f>
        <v>Arbab Stefan</v>
      </c>
      <c r="E6" s="4"/>
      <c r="F6" s="12" t="s">
        <v>18</v>
      </c>
      <c r="G6" s="13">
        <f>(AND(B3&lt;&gt;"",C3&lt;&gt;"")*(B3&gt;C3))*1 + (AND(B3&lt;&gt;"",C3&lt;&gt;"")*(B3=C3))*0.5
+ (AND(B4&lt;&gt;"",C4&lt;&gt;"")*(B4&lt;C4))*1 + (AND(B4&lt;&gt;"",C4&lt;&gt;"")*(B4=C4))*0.5
+ (AND(B6&lt;&gt;"",C6&lt;&gt;"")*(B6&gt;C6))*1 + (AND(B6&lt;&gt;"",C6&lt;&gt;"")*(B6=C6))*0.5
+ (AND(B7&lt;&gt;"",C7&lt;&gt;"")*(B7&lt;C7))*1 + (AND(B7&lt;&gt;"",C7&lt;&gt;"")*(B7=C7))*0.5
</f>
        <v>3</v>
      </c>
      <c r="H6" s="13">
        <f>B3+C4+B6+C7-C3-B4-C6-B7</f>
        <v>5</v>
      </c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 t="str">
        <f>F4 &amp; " " &amp; F5</f>
        <v>Roland Arbab</v>
      </c>
      <c r="B7" s="10">
        <v>4.0</v>
      </c>
      <c r="C7" s="10">
        <v>5.0</v>
      </c>
      <c r="D7" s="9" t="str">
        <f>F6 &amp; " " &amp; F7</f>
        <v>Michael Soumi</v>
      </c>
      <c r="E7" s="4"/>
      <c r="F7" s="12" t="s">
        <v>19</v>
      </c>
      <c r="G7" s="13">
        <f>(AND(B3&lt;&gt;"",C3&lt;&gt;"")*(B3&lt;C3))*1 + (AND(B3&lt;&gt;"",C3&lt;&gt;"")*(B3=C3))*0.5
+ (AND(B4&lt;&gt;"",C4&lt;&gt;"")*(B4&gt;C4))*1 + (AND(B4&lt;&gt;"",C4&lt;&gt;"")*(B4=C4))*0.5
+ (AND(B5&lt;&gt;"",C5&lt;&gt;"")*(B5&lt;C5))*1 + (AND(B5&lt;&gt;"",C5&lt;&gt;"")*(B5=C5))*0.5
+ (AND(B7&lt;&gt;"",C7&lt;&gt;"")*(B7&lt;C7))*1 + (AND(B7&lt;&gt;"",C7&lt;&gt;"")*(B7=C7))*0.5
</f>
        <v>3</v>
      </c>
      <c r="H7" s="13">
        <f>C3+B4+C5+C7-B3-C4-B5-B7</f>
        <v>4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17">
        <v>4.0</v>
      </c>
      <c r="B8" s="4"/>
      <c r="C8" s="4"/>
      <c r="D8" s="17">
        <v>5.0</v>
      </c>
      <c r="E8" s="4"/>
      <c r="F8" s="12" t="s">
        <v>20</v>
      </c>
      <c r="G8" s="13">
        <f>(AND(B3&lt;&gt;"",C3&lt;&gt;"")*(B3&lt;C3))*1 + (AND(B3&lt;&gt;"",C3&lt;&gt;"")*(B3=C3))*0.5
+ (AND(B4&lt;&gt;"",C4&lt;&gt;"")*(B4&lt;C4))*1 + (AND(B4&lt;&gt;"",C4&lt;&gt;"")*(B4=C4))*0.5
+ (AND(B5&lt;&gt;"",C5&lt;&gt;"")*(B5&gt;C5))*1 + (AND(B5&lt;&gt;"",C5&lt;&gt;"")*(B5=C5))*0.5
+ (AND(B6&lt;&gt;"",C6&lt;&gt;"")*(B6&lt;C6))*1 + (AND(B6&lt;&gt;"",C6&lt;&gt;"")*(B6=C6))*0.5
</f>
        <v>1</v>
      </c>
      <c r="H8" s="13">
        <f>SUM(C3:C4)+B5+C6-SUM(B3:B4)-C5-B6</f>
        <v>-7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4"/>
      <c r="B9" s="4"/>
      <c r="C9" s="4"/>
      <c r="D9" s="4"/>
      <c r="E9" s="4"/>
      <c r="F9" s="15"/>
      <c r="G9" s="15"/>
      <c r="H9" s="15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2" max="3" width="5.25"/>
    <col customWidth="1" min="4" max="4" width="7.25"/>
    <col customWidth="1" min="8" max="8" width="13.0"/>
  </cols>
  <sheetData>
    <row r="1">
      <c r="A1" s="1"/>
      <c r="B1" s="2" t="s">
        <v>0</v>
      </c>
      <c r="C1" s="2" t="s">
        <v>1</v>
      </c>
      <c r="D1" s="1"/>
      <c r="E1" s="4"/>
      <c r="F1" s="4"/>
      <c r="G1" s="4"/>
      <c r="H1" s="5" t="s">
        <v>2</v>
      </c>
      <c r="I1" s="6" t="str">
        <f t="array" ref="I1">INDEX(F4:F8, MATCH( MAX( IF(G4:G8=MAX(G4:G8), H4:H8) ), H4:H8, 0))
</f>
        <v>Octavian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/>
      <c r="B2" s="1"/>
      <c r="C2" s="1"/>
      <c r="D2" s="1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 t="str">
        <f>F5 &amp; " " &amp; F6</f>
        <v>Octavian JanPatrick</v>
      </c>
      <c r="B3" s="10">
        <v>4.0</v>
      </c>
      <c r="C3" s="10">
        <v>3.0</v>
      </c>
      <c r="D3" s="9" t="str">
        <f>F7 &amp; " " &amp; F8</f>
        <v>Agustin Cesar</v>
      </c>
      <c r="E3" s="4"/>
      <c r="F3" s="11" t="s">
        <v>3</v>
      </c>
      <c r="G3" s="11" t="s">
        <v>4</v>
      </c>
      <c r="H3" s="11" t="s">
        <v>5</v>
      </c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 t="str">
        <f>F4 &amp; " " &amp; F7</f>
        <v>Eva Agustin</v>
      </c>
      <c r="B4" s="10">
        <v>4.0</v>
      </c>
      <c r="C4" s="10">
        <v>3.0</v>
      </c>
      <c r="D4" s="9" t="str">
        <f>F6 &amp; " " &amp; F8</f>
        <v>JanPatrick Cesar</v>
      </c>
      <c r="E4" s="4"/>
      <c r="F4" s="12" t="s">
        <v>21</v>
      </c>
      <c r="G4" s="13">
        <f>SUMPRODUCT(((B4:B7&gt;C4:C7)*1 + (B4:B7=C4:C7)*0.5) * (B4:B7&lt;&gt;"") * (C4:C7&lt;&gt;""))
</f>
        <v>2</v>
      </c>
      <c r="H4" s="13">
        <f>SUM(B4:B7)-SUM(C4:C7)</f>
        <v>1</v>
      </c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tr">
        <f>F4 &amp; " " &amp; F8</f>
        <v>Eva Cesar</v>
      </c>
      <c r="B5" s="10">
        <v>1.0</v>
      </c>
      <c r="C5" s="10">
        <v>5.0</v>
      </c>
      <c r="D5" s="9" t="str">
        <f>F5 &amp; " " &amp; F7</f>
        <v>Octavian Agustin</v>
      </c>
      <c r="E5" s="4"/>
      <c r="F5" s="12" t="s">
        <v>22</v>
      </c>
      <c r="G5" s="13">
        <f>(AND(B3&lt;&gt;"",C3&lt;&gt;"")*(B3&gt;C3))*1 + (AND(B3&lt;&gt;"",C3&lt;&gt;"")*(B3=C3))*0.5
+ (AND(B5&lt;&gt;"",C5&lt;&gt;"")*(B5&lt;C5))*1 + (AND(B5&lt;&gt;"",C5&lt;&gt;"")*(B5=C5))*0.5
+ (AND(B6&lt;&gt;"",C6&lt;&gt;"")*(B6&lt;C6))*1 + (AND(B6&lt;&gt;"",C6&lt;&gt;"")*(B6=C6))*0.5
+ (AND(B7&lt;&gt;"",C7&lt;&gt;"")*(B7&gt;C7))*1 + (AND(B7&lt;&gt;"",C7&lt;&gt;"")*(B7=C7))*0.5
</f>
        <v>4</v>
      </c>
      <c r="H5" s="13">
        <f>B3+SUM(C5:C6)+B7-C3-SUM(B5:B6)-C7</f>
        <v>11</v>
      </c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 t="str">
        <f>F4 &amp; " " &amp; F6</f>
        <v>Eva JanPatrick</v>
      </c>
      <c r="B6" s="10">
        <v>4.0</v>
      </c>
      <c r="C6" s="10">
        <v>5.0</v>
      </c>
      <c r="D6" s="9" t="str">
        <f>F5 &amp; " " &amp; F8</f>
        <v>Octavian Cesar</v>
      </c>
      <c r="E6" s="4"/>
      <c r="F6" s="12" t="s">
        <v>23</v>
      </c>
      <c r="G6" s="13">
        <f>(AND(B3&lt;&gt;"",C3&lt;&gt;"")*(B3&gt;C3))*1 + (AND(B3&lt;&gt;"",C3&lt;&gt;"")*(B3=C3))*0.5
+ (AND(B4&lt;&gt;"",C4&lt;&gt;"")*(B4&lt;C4))*1 + (AND(B4&lt;&gt;"",C4&lt;&gt;"")*(B4=C4))*0.5
+ (AND(B6&lt;&gt;"",C6&lt;&gt;"")*(B6&gt;C6))*1 + (AND(B6&lt;&gt;"",C6&lt;&gt;"")*(B6=C6))*0.5
+ (AND(B7&lt;&gt;"",C7&lt;&gt;"")*(B7&lt;C7))*1 + (AND(B7&lt;&gt;"",C7&lt;&gt;"")*(B7=C7))*0.5
</f>
        <v>1</v>
      </c>
      <c r="H6" s="13">
        <f>B3+C4+B6+C7-C3-B4-C6-B7</f>
        <v>-6</v>
      </c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 t="str">
        <f>F4 &amp; " " &amp; F5</f>
        <v>Eva Octavian</v>
      </c>
      <c r="B7" s="10">
        <v>6.0</v>
      </c>
      <c r="C7" s="10">
        <v>1.0</v>
      </c>
      <c r="D7" s="9" t="str">
        <f>F6 &amp; " " &amp; F7</f>
        <v>JanPatrick Agustin</v>
      </c>
      <c r="E7" s="4"/>
      <c r="F7" s="12" t="s">
        <v>24</v>
      </c>
      <c r="G7" s="13">
        <f>(AND(B3&lt;&gt;"",C3&lt;&gt;"")*(B3&lt;C3))*1 + (AND(B3&lt;&gt;"",C3&lt;&gt;"")*(B3=C3))*0.5
+ (AND(B4&lt;&gt;"",C4&lt;&gt;"")*(B4&gt;C4))*1 + (AND(B4&lt;&gt;"",C4&lt;&gt;"")*(B4=C4))*0.5
+ (AND(B5&lt;&gt;"",C5&lt;&gt;"")*(B5&lt;C5))*1 + (AND(B5&lt;&gt;"",C5&lt;&gt;"")*(B5=C5))*0.5
+ (AND(B7&lt;&gt;"",C7&lt;&gt;"")*(B7&lt;C7))*1 + (AND(B7&lt;&gt;"",C7&lt;&gt;"")*(B7=C7))*0.5
</f>
        <v>2</v>
      </c>
      <c r="H7" s="13">
        <f>C3+B4+C5+C7-B3-C4-B5-B7</f>
        <v>-1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4"/>
      <c r="B8" s="4"/>
      <c r="C8" s="4"/>
      <c r="D8" s="4"/>
      <c r="E8" s="4"/>
      <c r="F8" s="12" t="s">
        <v>25</v>
      </c>
      <c r="G8" s="13">
        <f>(AND(B3&lt;&gt;"",C3&lt;&gt;"")*(B3&lt;C3))*1 + (AND(B3&lt;&gt;"",C3&lt;&gt;"")*(B3=C3))*0.5
+ (AND(B4&lt;&gt;"",C4&lt;&gt;"")*(B4&lt;C4))*1 + (AND(B4&lt;&gt;"",C4&lt;&gt;"")*(B4=C4))*0.5
+ (AND(B5&lt;&gt;"",C5&lt;&gt;"")*(B5&gt;C5))*1 + (AND(B5&lt;&gt;"",C5&lt;&gt;"")*(B5=C5))*0.5
+ (AND(B6&lt;&gt;"",C6&lt;&gt;"")*(B6&lt;C6))*1 + (AND(B6&lt;&gt;"",C6&lt;&gt;"")*(B6=C6))*0.5
</f>
        <v>1</v>
      </c>
      <c r="H8" s="13">
        <f>SUM(C3:C4)+B5+C6-SUM(B3:B4)-C5-B6</f>
        <v>-5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4"/>
      <c r="B9" s="4"/>
      <c r="C9" s="4"/>
      <c r="D9" s="4"/>
      <c r="E9" s="4"/>
      <c r="F9" s="15"/>
      <c r="G9" s="15"/>
      <c r="H9" s="15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2" max="3" width="5.25"/>
    <col customWidth="1" min="4" max="4" width="7.25"/>
    <col customWidth="1" min="8" max="8" width="13.0"/>
  </cols>
  <sheetData>
    <row r="1">
      <c r="A1" s="1"/>
      <c r="B1" s="2" t="s">
        <v>0</v>
      </c>
      <c r="C1" s="2" t="s">
        <v>1</v>
      </c>
      <c r="D1" s="1"/>
      <c r="E1" s="4"/>
      <c r="F1" s="4"/>
      <c r="G1" s="4"/>
      <c r="H1" s="5" t="s">
        <v>2</v>
      </c>
      <c r="I1" s="6" t="str">
        <f t="array" ref="I1">INDEX(F4:F8, MATCH( MAX( IF(G4:G8=MAX(G4:G8), H4:H8) ), H4:H8, 0))
</f>
        <v>Lisa-Sophie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/>
      <c r="B2" s="1"/>
      <c r="C2" s="1"/>
      <c r="D2" s="1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 t="str">
        <f>F5 &amp; " " &amp; F6</f>
        <v>Lisa-Sophie Manuela</v>
      </c>
      <c r="B3" s="10">
        <v>5.0</v>
      </c>
      <c r="C3" s="10">
        <v>4.0</v>
      </c>
      <c r="D3" s="9" t="str">
        <f>F7 &amp; " " &amp; F8</f>
        <v>Daria Steffen</v>
      </c>
      <c r="E3" s="4"/>
      <c r="F3" s="11" t="s">
        <v>3</v>
      </c>
      <c r="G3" s="11" t="s">
        <v>4</v>
      </c>
      <c r="H3" s="11" t="s">
        <v>5</v>
      </c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 t="str">
        <f>F4 &amp; " " &amp; F7</f>
        <v>Markus Daria</v>
      </c>
      <c r="B4" s="10">
        <v>3.0</v>
      </c>
      <c r="C4" s="10">
        <v>7.0</v>
      </c>
      <c r="D4" s="9" t="str">
        <f>F6 &amp; " " &amp; F8</f>
        <v>Manuela Steffen</v>
      </c>
      <c r="E4" s="4"/>
      <c r="F4" s="12" t="s">
        <v>10</v>
      </c>
      <c r="G4" s="13">
        <f>SUMPRODUCT(((B4:B7&gt;C4:C7)*1 + (B4:B7=C4:C7)*0.5) * (B4:B7&lt;&gt;"") * (C4:C7&lt;&gt;""))
</f>
        <v>1</v>
      </c>
      <c r="H4" s="13">
        <f>SUM(B4:B7)-SUM(C4:C7)</f>
        <v>-10</v>
      </c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tr">
        <f>F4 &amp; " " &amp; F8</f>
        <v>Markus Steffen</v>
      </c>
      <c r="B5" s="10">
        <v>1.0</v>
      </c>
      <c r="C5" s="10">
        <v>4.0</v>
      </c>
      <c r="D5" s="9" t="str">
        <f>F5 &amp; " " &amp; F7</f>
        <v>Lisa-Sophie Daria</v>
      </c>
      <c r="E5" s="4"/>
      <c r="F5" s="12" t="s">
        <v>26</v>
      </c>
      <c r="G5" s="13">
        <f>(AND(B3&lt;&gt;"",C3&lt;&gt;"")*(B3&gt;C3))*1 + (AND(B3&lt;&gt;"",C3&lt;&gt;"")*(B3=C3))*0.5
+ (AND(B5&lt;&gt;"",C5&lt;&gt;"")*(B5&lt;C5))*1 + (AND(B5&lt;&gt;"",C5&lt;&gt;"")*(B5=C5))*0.5
+ (AND(B6&lt;&gt;"",C6&lt;&gt;"")*(B6&lt;C6))*1 + (AND(B6&lt;&gt;"",C6&lt;&gt;"")*(B6=C6))*0.5
+ (AND(B7&lt;&gt;"",C7&lt;&gt;"")*(B7&gt;C7))*1 + (AND(B7&lt;&gt;"",C7&lt;&gt;"")*(B7=C7))*0.5
</f>
        <v>4</v>
      </c>
      <c r="H5" s="13">
        <f>B3+SUM(C5:C6)+B7-C3-SUM(B5:B6)-C7</f>
        <v>11</v>
      </c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 t="str">
        <f>F4 &amp; " " &amp; F6</f>
        <v>Markus Manuela</v>
      </c>
      <c r="B6" s="10">
        <v>2.0</v>
      </c>
      <c r="C6" s="10">
        <v>7.0</v>
      </c>
      <c r="D6" s="9" t="str">
        <f>F5 &amp; " " &amp; F8</f>
        <v>Lisa-Sophie Steffen</v>
      </c>
      <c r="E6" s="4"/>
      <c r="F6" s="12" t="s">
        <v>27</v>
      </c>
      <c r="G6" s="13">
        <f>(AND(B3&lt;&gt;"",C3&lt;&gt;"")*(B3&gt;C3))*1 + (AND(B3&lt;&gt;"",C3&lt;&gt;"")*(B3=C3))*0.5
+ (AND(B4&lt;&gt;"",C4&lt;&gt;"")*(B4&lt;C4))*1 + (AND(B4&lt;&gt;"",C4&lt;&gt;"")*(B4=C4))*0.5
+ (AND(B6&lt;&gt;"",C6&lt;&gt;"")*(B6&gt;C6))*1 + (AND(B6&lt;&gt;"",C6&lt;&gt;"")*(B6=C6))*0.5
+ (AND(B7&lt;&gt;"",C7&lt;&gt;"")*(B7&lt;C7))*1 + (AND(B7&lt;&gt;"",C7&lt;&gt;"")*(B7=C7))*0.5
</f>
        <v>2</v>
      </c>
      <c r="H6" s="13">
        <f>B3+C4+B6+C7-C3-B4-C6-B7</f>
        <v>-2</v>
      </c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 t="str">
        <f>F4 &amp; " " &amp; F5</f>
        <v>Markus Lisa-Sophie</v>
      </c>
      <c r="B7" s="10">
        <v>5.0</v>
      </c>
      <c r="C7" s="10">
        <v>3.0</v>
      </c>
      <c r="D7" s="9" t="str">
        <f>F6 &amp; " " &amp; F7</f>
        <v>Manuela Daria</v>
      </c>
      <c r="E7" s="4"/>
      <c r="F7" s="12" t="s">
        <v>28</v>
      </c>
      <c r="G7" s="13">
        <f>(AND(B3&lt;&gt;"",C3&lt;&gt;"")*(B3&lt;C3))*1 + (AND(B3&lt;&gt;"",C3&lt;&gt;"")*(B3=C3))*0.5
+ (AND(B4&lt;&gt;"",C4&lt;&gt;"")*(B4&gt;C4))*1 + (AND(B4&lt;&gt;"",C4&lt;&gt;"")*(B4=C4))*0.5
+ (AND(B5&lt;&gt;"",C5&lt;&gt;"")*(B5&lt;C5))*1 + (AND(B5&lt;&gt;"",C5&lt;&gt;"")*(B5=C5))*0.5
+ (AND(B7&lt;&gt;"",C7&lt;&gt;"")*(B7&lt;C7))*1 + (AND(B7&lt;&gt;"",C7&lt;&gt;"")*(B7=C7))*0.5
</f>
        <v>1</v>
      </c>
      <c r="H7" s="13">
        <f>C3+B4+C5+C7-B3-C4-B5-B7</f>
        <v>-4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4"/>
      <c r="B8" s="4"/>
      <c r="C8" s="4"/>
      <c r="D8" s="4"/>
      <c r="E8" s="4"/>
      <c r="F8" s="12" t="s">
        <v>29</v>
      </c>
      <c r="G8" s="13">
        <f>(AND(B3&lt;&gt;"",C3&lt;&gt;"")*(B3&lt;C3))*1 + (AND(B3&lt;&gt;"",C3&lt;&gt;"")*(B3=C3))*0.5
+ (AND(B4&lt;&gt;"",C4&lt;&gt;"")*(B4&lt;C4))*1 + (AND(B4&lt;&gt;"",C4&lt;&gt;"")*(B4=C4))*0.5
+ (AND(B5&lt;&gt;"",C5&lt;&gt;"")*(B5&gt;C5))*1 + (AND(B5&lt;&gt;"",C5&lt;&gt;"")*(B5=C5))*0.5
+ (AND(B6&lt;&gt;"",C6&lt;&gt;"")*(B6&lt;C6))*1 + (AND(B6&lt;&gt;"",C6&lt;&gt;"")*(B6=C6))*0.5
</f>
        <v>2</v>
      </c>
      <c r="H8" s="13">
        <f>SUM(C3:C4)+B5+C6-SUM(B3:B4)-C5-B6</f>
        <v>5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4"/>
      <c r="B9" s="4"/>
      <c r="C9" s="4"/>
      <c r="D9" s="4"/>
      <c r="E9" s="4"/>
      <c r="F9" s="15"/>
      <c r="G9" s="15"/>
      <c r="H9" s="15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2" max="3" width="5.25"/>
    <col customWidth="1" min="4" max="4" width="7.25"/>
    <col customWidth="1" min="8" max="8" width="13.0"/>
  </cols>
  <sheetData>
    <row r="1">
      <c r="A1" s="1"/>
      <c r="B1" s="2" t="s">
        <v>0</v>
      </c>
      <c r="C1" s="2" t="s">
        <v>1</v>
      </c>
      <c r="D1" s="1"/>
      <c r="E1" s="4"/>
      <c r="F1" s="4"/>
      <c r="G1" s="4"/>
      <c r="H1" s="5" t="s">
        <v>2</v>
      </c>
      <c r="I1" s="6" t="str">
        <f t="array" ref="I1">INDEX(F4:F8, MATCH( MAX( IF(G4:G8=MAX(G4:G8), H4:H8) ), H4:H8, 0))
</f>
        <v>Margarita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/>
      <c r="B2" s="1"/>
      <c r="C2" s="1"/>
      <c r="D2" s="1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 t="str">
        <f>F5 &amp; " " &amp; F6</f>
        <v>Margarita Hesham</v>
      </c>
      <c r="B3" s="10">
        <v>4.0</v>
      </c>
      <c r="C3" s="10">
        <v>3.0</v>
      </c>
      <c r="D3" s="9" t="str">
        <f>F7 &amp; " " &amp; F8</f>
        <v>Lucy Maria K.</v>
      </c>
      <c r="E3" s="4"/>
      <c r="F3" s="11" t="s">
        <v>3</v>
      </c>
      <c r="G3" s="11" t="s">
        <v>4</v>
      </c>
      <c r="H3" s="11" t="s">
        <v>5</v>
      </c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 t="str">
        <f>F4 &amp; " " &amp; F7</f>
        <v>Ahmed Lucy</v>
      </c>
      <c r="B4" s="10">
        <v>5.0</v>
      </c>
      <c r="C4" s="10">
        <v>4.0</v>
      </c>
      <c r="D4" s="9" t="str">
        <f>F6 &amp; " " &amp; F8</f>
        <v>Hesham Maria K.</v>
      </c>
      <c r="E4" s="4"/>
      <c r="F4" s="12" t="s">
        <v>30</v>
      </c>
      <c r="G4" s="13">
        <f>SUMPRODUCT(((B4:B7&gt;C4:C7)*1 + (B4:B7=C4:C7)*0.5) * (B4:B7&lt;&gt;"") * (C4:C7&lt;&gt;""))
</f>
        <v>2.5</v>
      </c>
      <c r="H4" s="13">
        <f>SUM(B4:B7)-SUM(C4:C7)</f>
        <v>0</v>
      </c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tr">
        <f>F4 &amp; " " &amp; F8</f>
        <v>Ahmed Maria K.</v>
      </c>
      <c r="B5" s="10">
        <v>4.0</v>
      </c>
      <c r="C5" s="10">
        <v>7.0</v>
      </c>
      <c r="D5" s="9" t="str">
        <f>F5 &amp; " " &amp; F7</f>
        <v>Margarita Lucy</v>
      </c>
      <c r="E5" s="4"/>
      <c r="F5" s="12" t="s">
        <v>31</v>
      </c>
      <c r="G5" s="13">
        <f>(AND(B3&lt;&gt;"",C3&lt;&gt;"")*(B3&gt;C3))*1 + (AND(B3&lt;&gt;"",C3&lt;&gt;"")*(B3=C3))*0.5
+ (AND(B5&lt;&gt;"",C5&lt;&gt;"")*(B5&lt;C5))*1 + (AND(B5&lt;&gt;"",C5&lt;&gt;"")*(B5=C5))*0.5
+ (AND(B6&lt;&gt;"",C6&lt;&gt;"")*(B6&lt;C6))*1 + (AND(B6&lt;&gt;"",C6&lt;&gt;"")*(B6=C6))*0.5
+ (AND(B7&lt;&gt;"",C7&lt;&gt;"")*(B7&gt;C7))*1 + (AND(B7&lt;&gt;"",C7&lt;&gt;"")*(B7=C7))*0.5
</f>
        <v>3.5</v>
      </c>
      <c r="H5" s="13">
        <f>B3+SUM(C5:C6)+B7-C3-SUM(B5:B6)-C7</f>
        <v>6</v>
      </c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 t="str">
        <f>F4 &amp; " " &amp; F6</f>
        <v>Ahmed Hesham</v>
      </c>
      <c r="B6" s="10">
        <v>5.0</v>
      </c>
      <c r="C6" s="10">
        <v>5.0</v>
      </c>
      <c r="D6" s="9" t="str">
        <f>F5 &amp; " " &amp; F8</f>
        <v>Margarita Maria K.</v>
      </c>
      <c r="E6" s="4"/>
      <c r="F6" s="12" t="s">
        <v>32</v>
      </c>
      <c r="G6" s="13">
        <f>(AND(B3&lt;&gt;"",C3&lt;&gt;"")*(B3&gt;C3))*1 + (AND(B3&lt;&gt;"",C3&lt;&gt;"")*(B3=C3))*0.5
+ (AND(B4&lt;&gt;"",C4&lt;&gt;"")*(B4&lt;C4))*1 + (AND(B4&lt;&gt;"",C4&lt;&gt;"")*(B4=C4))*0.5
+ (AND(B6&lt;&gt;"",C6&lt;&gt;"")*(B6&gt;C6))*1 + (AND(B6&lt;&gt;"",C6&lt;&gt;"")*(B6=C6))*0.5
+ (AND(B7&lt;&gt;"",C7&lt;&gt;"")*(B7&lt;C7))*1 + (AND(B7&lt;&gt;"",C7&lt;&gt;"")*(B7=C7))*0.5
</f>
        <v>1.5</v>
      </c>
      <c r="H6" s="13">
        <f>B3+C4+B6+C7-C3-B4-C6-B7</f>
        <v>-2</v>
      </c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 t="str">
        <f>F4 &amp; " " &amp; F5</f>
        <v>Ahmed Margarita</v>
      </c>
      <c r="B7" s="10">
        <v>5.0</v>
      </c>
      <c r="C7" s="10">
        <v>3.0</v>
      </c>
      <c r="D7" s="9" t="str">
        <f>F6 &amp; " " &amp; F7</f>
        <v>Hesham Lucy</v>
      </c>
      <c r="E7" s="4"/>
      <c r="F7" s="12" t="s">
        <v>33</v>
      </c>
      <c r="G7" s="13">
        <f>(AND(B3&lt;&gt;"",C3&lt;&gt;"")*(B3&lt;C3))*1 + (AND(B3&lt;&gt;"",C3&lt;&gt;"")*(B3=C3))*0.5
+ (AND(B4&lt;&gt;"",C4&lt;&gt;"")*(B4&gt;C4))*1 + (AND(B4&lt;&gt;"",C4&lt;&gt;"")*(B4=C4))*0.5
+ (AND(B5&lt;&gt;"",C5&lt;&gt;"")*(B5&lt;C5))*1 + (AND(B5&lt;&gt;"",C5&lt;&gt;"")*(B5=C5))*0.5
+ (AND(B7&lt;&gt;"",C7&lt;&gt;"")*(B7&lt;C7))*1 + (AND(B7&lt;&gt;"",C7&lt;&gt;"")*(B7=C7))*0.5
</f>
        <v>2</v>
      </c>
      <c r="H7" s="13">
        <f>C3+B4+C5+C7-B3-C4-B5-B7</f>
        <v>1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4"/>
      <c r="B8" s="4"/>
      <c r="C8" s="4"/>
      <c r="D8" s="4"/>
      <c r="E8" s="4"/>
      <c r="F8" s="12" t="s">
        <v>34</v>
      </c>
      <c r="G8" s="13">
        <f>(AND(B3&lt;&gt;"",C3&lt;&gt;"")*(B3&lt;C3))*1 + (AND(B3&lt;&gt;"",C3&lt;&gt;"")*(B3=C3))*0.5
+ (AND(B4&lt;&gt;"",C4&lt;&gt;"")*(B4&lt;C4))*1 + (AND(B4&lt;&gt;"",C4&lt;&gt;"")*(B4=C4))*0.5
+ (AND(B5&lt;&gt;"",C5&lt;&gt;"")*(B5&gt;C5))*1 + (AND(B5&lt;&gt;"",C5&lt;&gt;"")*(B5=C5))*0.5
+ (AND(B6&lt;&gt;"",C6&lt;&gt;"")*(B6&lt;C6))*1 + (AND(B6&lt;&gt;"",C6&lt;&gt;"")*(B6=C6))*0.5
</f>
        <v>0.5</v>
      </c>
      <c r="H8" s="13">
        <f>SUM(C3:C4)+B5+C6-SUM(B3:B4)-C5-B6</f>
        <v>-5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4"/>
      <c r="B9" s="4"/>
      <c r="C9" s="4"/>
      <c r="D9" s="4"/>
      <c r="E9" s="4"/>
      <c r="F9" s="15"/>
      <c r="G9" s="15"/>
      <c r="H9" s="15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2" max="3" width="5.25"/>
    <col customWidth="1" min="4" max="4" width="7.25"/>
    <col customWidth="1" min="8" max="8" width="13.0"/>
  </cols>
  <sheetData>
    <row r="1">
      <c r="A1" s="1"/>
      <c r="B1" s="2" t="s">
        <v>0</v>
      </c>
      <c r="C1" s="2" t="s">
        <v>1</v>
      </c>
      <c r="D1" s="1"/>
      <c r="E1" s="4"/>
      <c r="F1" s="4"/>
      <c r="G1" s="4"/>
      <c r="H1" s="5" t="s">
        <v>2</v>
      </c>
      <c r="I1" s="6" t="str">
        <f t="array" ref="I1">INDEX(F4:F8, MATCH( MAX( IF(G4:G8=MAX(G4:G8), H4:H8) ), H4:H8, 0))
</f>
        <v>Maria L.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/>
      <c r="B2" s="1"/>
      <c r="C2" s="1"/>
      <c r="D2" s="1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 t="str">
        <f>F5 &amp; " " &amp; F6</f>
        <v>Nico Varvara</v>
      </c>
      <c r="B3" s="10"/>
      <c r="C3" s="10"/>
      <c r="D3" s="9" t="str">
        <f>F7 &amp; " " &amp; F8</f>
        <v>Aleksei Stephanie</v>
      </c>
      <c r="E3" s="4"/>
      <c r="F3" s="11" t="s">
        <v>3</v>
      </c>
      <c r="G3" s="11" t="s">
        <v>4</v>
      </c>
      <c r="H3" s="11" t="s">
        <v>5</v>
      </c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 t="str">
        <f>F4 &amp; " " &amp; F7</f>
        <v>Maria L. Aleksei</v>
      </c>
      <c r="B4" s="10"/>
      <c r="C4" s="10"/>
      <c r="D4" s="9" t="str">
        <f>F6 &amp; " " &amp; F8</f>
        <v>Varvara Stephanie</v>
      </c>
      <c r="E4" s="4"/>
      <c r="F4" s="12" t="s">
        <v>35</v>
      </c>
      <c r="G4" s="13">
        <f>SUMPRODUCT(((B4:B7&gt;C4:C7)*1 + (B4:B7=C4:C7)*0.5) * (B4:B7&lt;&gt;"") * (C4:C7&lt;&gt;""))
</f>
        <v>1</v>
      </c>
      <c r="H4" s="13">
        <f>SUM(B4:B7)-SUM(C4:C7)</f>
        <v>3</v>
      </c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tr">
        <f>F4 &amp; " " &amp; F8</f>
        <v>Maria L. Stephanie</v>
      </c>
      <c r="B5" s="10"/>
      <c r="C5" s="10"/>
      <c r="D5" s="9" t="str">
        <f>F5 &amp; " " &amp; F7</f>
        <v>Nico Aleksei</v>
      </c>
      <c r="E5" s="4"/>
      <c r="F5" s="12" t="s">
        <v>36</v>
      </c>
      <c r="G5" s="13">
        <f>(AND(B3&lt;&gt;"",C3&lt;&gt;"")*(B3&gt;C3))*1 + (AND(B3&lt;&gt;"",C3&lt;&gt;"")*(B3=C3))*0.5
+ (AND(B5&lt;&gt;"",C5&lt;&gt;"")*(B5&lt;C5))*1 + (AND(B5&lt;&gt;"",C5&lt;&gt;"")*(B5=C5))*0.5
+ (AND(B6&lt;&gt;"",C6&lt;&gt;"")*(B6&lt;C6))*1 + (AND(B6&lt;&gt;"",C6&lt;&gt;"")*(B6=C6))*0.5
+ (AND(B7&lt;&gt;"",C7&lt;&gt;"")*(B7&gt;C7))*1 + (AND(B7&lt;&gt;"",C7&lt;&gt;"")*(B7=C7))*0.5
</f>
        <v>1</v>
      </c>
      <c r="H5" s="13">
        <f>B3+SUM(C5:C6)+B7-C3-SUM(B5:B6)-C7</f>
        <v>3</v>
      </c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 t="str">
        <f>F4 &amp; " " &amp; F6</f>
        <v>Maria L. Varvara</v>
      </c>
      <c r="B6" s="10"/>
      <c r="C6" s="10"/>
      <c r="D6" s="9" t="str">
        <f>F5 &amp; " " &amp; F8</f>
        <v>Nico Stephanie</v>
      </c>
      <c r="E6" s="4"/>
      <c r="F6" s="12" t="s">
        <v>37</v>
      </c>
      <c r="G6" s="13">
        <f>(AND(B3&lt;&gt;"",C3&lt;&gt;"")*(B3&gt;C3))*1 + (AND(B3&lt;&gt;"",C3&lt;&gt;"")*(B3=C3))*0.5
+ (AND(B4&lt;&gt;"",C4&lt;&gt;"")*(B4&lt;C4))*1 + (AND(B4&lt;&gt;"",C4&lt;&gt;"")*(B4=C4))*0.5
+ (AND(B6&lt;&gt;"",C6&lt;&gt;"")*(B6&gt;C6))*1 + (AND(B6&lt;&gt;"",C6&lt;&gt;"")*(B6=C6))*0.5
+ (AND(B7&lt;&gt;"",C7&lt;&gt;"")*(B7&lt;C7))*1 + (AND(B7&lt;&gt;"",C7&lt;&gt;"")*(B7=C7))*0.5
</f>
        <v>0</v>
      </c>
      <c r="H6" s="13">
        <f>B3+C4+B6+C7-C3-B4-C6-B7</f>
        <v>-3</v>
      </c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 t="str">
        <f>F4 &amp; " " &amp; F5</f>
        <v>Maria L. Nico</v>
      </c>
      <c r="B7" s="10">
        <v>6.0</v>
      </c>
      <c r="C7" s="10">
        <v>3.0</v>
      </c>
      <c r="D7" s="9" t="str">
        <f>F6 &amp; " " &amp; F7</f>
        <v>Varvara Aleksei</v>
      </c>
      <c r="E7" s="4"/>
      <c r="F7" s="12" t="s">
        <v>38</v>
      </c>
      <c r="G7" s="13">
        <f>(AND(B3&lt;&gt;"",C3&lt;&gt;"")*(B3&lt;C3))*1 + (AND(B3&lt;&gt;"",C3&lt;&gt;"")*(B3=C3))*0.5
+ (AND(B4&lt;&gt;"",C4&lt;&gt;"")*(B4&gt;C4))*1 + (AND(B4&lt;&gt;"",C4&lt;&gt;"")*(B4=C4))*0.5
+ (AND(B5&lt;&gt;"",C5&lt;&gt;"")*(B5&lt;C5))*1 + (AND(B5&lt;&gt;"",C5&lt;&gt;"")*(B5=C5))*0.5
+ (AND(B7&lt;&gt;"",C7&lt;&gt;"")*(B7&lt;C7))*1 + (AND(B7&lt;&gt;"",C7&lt;&gt;"")*(B7=C7))*0.5
</f>
        <v>0</v>
      </c>
      <c r="H7" s="13">
        <f>C3+B4+C5+C7-B3-C4-B5-B7</f>
        <v>-3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4"/>
      <c r="B8" s="4"/>
      <c r="C8" s="4"/>
      <c r="D8" s="4"/>
      <c r="E8" s="4"/>
      <c r="F8" s="12" t="s">
        <v>39</v>
      </c>
      <c r="G8" s="13">
        <f>(AND(B3&lt;&gt;"",C3&lt;&gt;"")*(B3&lt;C3))*1 + (AND(B3&lt;&gt;"",C3&lt;&gt;"")*(B3=C3))*0.5
+ (AND(B4&lt;&gt;"",C4&lt;&gt;"")*(B4&lt;C4))*1 + (AND(B4&lt;&gt;"",C4&lt;&gt;"")*(B4=C4))*0.5
+ (AND(B5&lt;&gt;"",C5&lt;&gt;"")*(B5&gt;C5))*1 + (AND(B5&lt;&gt;"",C5&lt;&gt;"")*(B5=C5))*0.5
+ (AND(B6&lt;&gt;"",C6&lt;&gt;"")*(B6&lt;C6))*1 + (AND(B6&lt;&gt;"",C6&lt;&gt;"")*(B6=C6))*0.5
</f>
        <v>0</v>
      </c>
      <c r="H8" s="13">
        <f>SUM(C3:C4)+B5+C6-SUM(B3:B4)-C5-B6</f>
        <v>0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4"/>
      <c r="B9" s="4"/>
      <c r="C9" s="4"/>
      <c r="D9" s="4"/>
      <c r="E9" s="4"/>
      <c r="F9" s="15"/>
      <c r="G9" s="15"/>
      <c r="H9" s="15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2" max="3" width="5.25"/>
    <col customWidth="1" min="4" max="4" width="7.25"/>
    <col customWidth="1" min="8" max="8" width="13.0"/>
  </cols>
  <sheetData>
    <row r="1">
      <c r="A1" s="1"/>
      <c r="B1" s="2" t="s">
        <v>0</v>
      </c>
      <c r="C1" s="2" t="s">
        <v>1</v>
      </c>
      <c r="D1" s="1"/>
      <c r="E1" s="4"/>
      <c r="F1" s="4"/>
      <c r="G1" s="4"/>
      <c r="H1" s="5" t="s">
        <v>2</v>
      </c>
      <c r="I1" s="6" t="str">
        <f t="array" ref="I1">INDEX(F4:F8, MATCH( MAX( IF(G4:G8=MAX(G4:G8), H4:H8) ), H4:H8, 0))
</f>
        <v>Bernando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/>
      <c r="B2" s="1"/>
      <c r="C2" s="1"/>
      <c r="D2" s="1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 t="str">
        <f>F5 &amp; " " &amp; F6</f>
        <v>Elena Bernando</v>
      </c>
      <c r="B3" s="10">
        <v>7.0</v>
      </c>
      <c r="C3" s="10">
        <v>2.0</v>
      </c>
      <c r="D3" s="9" t="str">
        <f>F7 &amp; " " &amp; F8</f>
        <v>Benjamin Sofia</v>
      </c>
      <c r="E3" s="4"/>
      <c r="F3" s="11" t="s">
        <v>3</v>
      </c>
      <c r="G3" s="11" t="s">
        <v>4</v>
      </c>
      <c r="H3" s="11" t="s">
        <v>5</v>
      </c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 t="str">
        <f>F4 &amp; " " &amp; F7</f>
        <v>Valeriia Benjamin</v>
      </c>
      <c r="B4" s="10">
        <v>3.0</v>
      </c>
      <c r="C4" s="10">
        <v>3.0</v>
      </c>
      <c r="D4" s="9" t="str">
        <f>F6 &amp; " " &amp; F8</f>
        <v>Bernando Sofia</v>
      </c>
      <c r="E4" s="4"/>
      <c r="F4" s="12" t="s">
        <v>40</v>
      </c>
      <c r="G4" s="13">
        <f>SUMPRODUCT(((B4:B7&gt;C4:C7)*1 + (B4:B7=C4:C7)*0.5) * (B4:B7&lt;&gt;"") * (C4:C7&lt;&gt;""))
</f>
        <v>1.5</v>
      </c>
      <c r="H4" s="13">
        <f>SUM(B4:B7)-SUM(C4:C7)</f>
        <v>-11</v>
      </c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tr">
        <f>F4 &amp; " " &amp; F8</f>
        <v>Valeriia Sofia</v>
      </c>
      <c r="B5" s="10">
        <v>0.0</v>
      </c>
      <c r="C5" s="10">
        <v>9.0</v>
      </c>
      <c r="D5" s="9" t="str">
        <f>F5 &amp; " " &amp; F7</f>
        <v>Elena Benjamin</v>
      </c>
      <c r="E5" s="4"/>
      <c r="F5" s="12" t="s">
        <v>41</v>
      </c>
      <c r="G5" s="13">
        <f>(AND(B3&lt;&gt;"",C3&lt;&gt;"")*(B3&gt;C3))*1 + (AND(B3&lt;&gt;"",C3&lt;&gt;"")*(B3=C3))*0.5
+ (AND(B5&lt;&gt;"",C5&lt;&gt;"")*(B5&lt;C5))*1 + (AND(B5&lt;&gt;"",C5&lt;&gt;"")*(B5=C5))*0.5
+ (AND(B6&lt;&gt;"",C6&lt;&gt;"")*(B6&lt;C6))*1 + (AND(B6&lt;&gt;"",C6&lt;&gt;"")*(B6=C6))*0.5
+ (AND(B7&lt;&gt;"",C7&lt;&gt;"")*(B7&gt;C7))*1 + (AND(B7&lt;&gt;"",C7&lt;&gt;"")*(B7=C7))*0.5
</f>
        <v>2</v>
      </c>
      <c r="H5" s="13">
        <f>B3+SUM(C5:C6)+B7-C3-SUM(B5:B6)-C7</f>
        <v>6</v>
      </c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 t="str">
        <f>F4 &amp; " " &amp; F6</f>
        <v>Valeriia Bernando</v>
      </c>
      <c r="B6" s="10">
        <v>6.0</v>
      </c>
      <c r="C6" s="10">
        <v>3.0</v>
      </c>
      <c r="D6" s="9" t="str">
        <f>F5 &amp; " " &amp; F8</f>
        <v>Elena Sofia</v>
      </c>
      <c r="E6" s="4"/>
      <c r="F6" s="12" t="s">
        <v>42</v>
      </c>
      <c r="G6" s="13">
        <f>(AND(B3&lt;&gt;"",C3&lt;&gt;"")*(B3&gt;C3))*1 + (AND(B3&lt;&gt;"",C3&lt;&gt;"")*(B3=C3))*0.5
+ (AND(B4&lt;&gt;"",C4&lt;&gt;"")*(B4&lt;C4))*1 + (AND(B4&lt;&gt;"",C4&lt;&gt;"")*(B4=C4))*0.5
+ (AND(B6&lt;&gt;"",C6&lt;&gt;"")*(B6&gt;C6))*1 + (AND(B6&lt;&gt;"",C6&lt;&gt;"")*(B6=C6))*0.5
+ (AND(B7&lt;&gt;"",C7&lt;&gt;"")*(B7&lt;C7))*1 + (AND(B7&lt;&gt;"",C7&lt;&gt;"")*(B7=C7))*0.5
</f>
        <v>3.5</v>
      </c>
      <c r="H6" s="13">
        <f>B3+C4+B6+C7-C3-B4-C6-B7</f>
        <v>13</v>
      </c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 t="str">
        <f>F4 &amp; " " &amp; F5</f>
        <v>Valeriia Elena</v>
      </c>
      <c r="B7" s="10">
        <v>1.0</v>
      </c>
      <c r="C7" s="10">
        <v>6.0</v>
      </c>
      <c r="D7" s="9" t="str">
        <f>F6 &amp; " " &amp; F7</f>
        <v>Bernando Benjamin</v>
      </c>
      <c r="E7" s="4"/>
      <c r="F7" s="12" t="s">
        <v>43</v>
      </c>
      <c r="G7" s="13">
        <f>(AND(B3&lt;&gt;"",C3&lt;&gt;"")*(B3&lt;C3))*1 + (AND(B3&lt;&gt;"",C3&lt;&gt;"")*(B3=C3))*0.5
+ (AND(B4&lt;&gt;"",C4&lt;&gt;"")*(B4&gt;C4))*1 + (AND(B4&lt;&gt;"",C4&lt;&gt;"")*(B4=C4))*0.5
+ (AND(B5&lt;&gt;"",C5&lt;&gt;"")*(B5&lt;C5))*1 + (AND(B5&lt;&gt;"",C5&lt;&gt;"")*(B5=C5))*0.5
+ (AND(B7&lt;&gt;"",C7&lt;&gt;"")*(B7&lt;C7))*1 + (AND(B7&lt;&gt;"",C7&lt;&gt;"")*(B7=C7))*0.5
</f>
        <v>2.5</v>
      </c>
      <c r="H7" s="13">
        <f>C3+B4+C5+C7-B3-C4-B5-B7</f>
        <v>9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4"/>
      <c r="B8" s="4"/>
      <c r="C8" s="4"/>
      <c r="D8" s="4"/>
      <c r="E8" s="4"/>
      <c r="F8" s="12" t="s">
        <v>44</v>
      </c>
      <c r="G8" s="13">
        <f>(AND(B3&lt;&gt;"",C3&lt;&gt;"")*(B3&lt;C3))*1 + (AND(B3&lt;&gt;"",C3&lt;&gt;"")*(B3=C3))*0.5
+ (AND(B4&lt;&gt;"",C4&lt;&gt;"")*(B4&lt;C4))*1 + (AND(B4&lt;&gt;"",C4&lt;&gt;"")*(B4=C4))*0.5
+ (AND(B5&lt;&gt;"",C5&lt;&gt;"")*(B5&gt;C5))*1 + (AND(B5&lt;&gt;"",C5&lt;&gt;"")*(B5=C5))*0.5
+ (AND(B6&lt;&gt;"",C6&lt;&gt;"")*(B6&lt;C6))*1 + (AND(B6&lt;&gt;"",C6&lt;&gt;"")*(B6=C6))*0.5
</f>
        <v>0.5</v>
      </c>
      <c r="H8" s="13">
        <f>SUM(C3:C4)+B5+C6-SUM(B3:B4)-C5-B6</f>
        <v>-17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4"/>
      <c r="B9" s="4"/>
      <c r="C9" s="4"/>
      <c r="D9" s="4"/>
      <c r="E9" s="4"/>
      <c r="F9" s="15"/>
      <c r="G9" s="15"/>
      <c r="H9" s="15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2" max="3" width="5.25"/>
    <col customWidth="1" min="4" max="4" width="7.25"/>
    <col customWidth="1" min="8" max="8" width="13.0"/>
  </cols>
  <sheetData>
    <row r="1">
      <c r="A1" s="1"/>
      <c r="B1" s="2" t="s">
        <v>0</v>
      </c>
      <c r="C1" s="2" t="s">
        <v>1</v>
      </c>
      <c r="D1" s="1"/>
      <c r="E1" s="4"/>
      <c r="F1" s="4"/>
      <c r="G1" s="4"/>
      <c r="H1" s="5" t="s">
        <v>2</v>
      </c>
      <c r="I1" s="6" t="str">
        <f t="array" ref="I1">INDEX(F4:F8, MATCH( MAX( IF(G4:G8=MAX(G4:G8), H4:H8) ), H4:H8, 0))
</f>
        <v>Veronika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/>
      <c r="B2" s="1"/>
      <c r="C2" s="1"/>
      <c r="D2" s="1"/>
      <c r="E2" s="4"/>
      <c r="F2" s="4"/>
      <c r="G2" s="4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 t="str">
        <f>F5 &amp; " " &amp; F6</f>
        <v>Veronika Anna</v>
      </c>
      <c r="B3" s="10">
        <v>4.0</v>
      </c>
      <c r="C3" s="10">
        <v>3.0</v>
      </c>
      <c r="D3" s="9" t="str">
        <f>F7 &amp; " " &amp; F8</f>
        <v>Olga Iana</v>
      </c>
      <c r="E3" s="4"/>
      <c r="F3" s="11" t="s">
        <v>3</v>
      </c>
      <c r="G3" s="11" t="s">
        <v>4</v>
      </c>
      <c r="H3" s="11" t="s">
        <v>5</v>
      </c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 t="str">
        <f>F4 &amp; " " &amp; F7</f>
        <v>Kateryna Olga</v>
      </c>
      <c r="B4" s="10">
        <v>5.0</v>
      </c>
      <c r="C4" s="10">
        <v>2.0</v>
      </c>
      <c r="D4" s="9" t="str">
        <f>F6 &amp; " " &amp; F8</f>
        <v>Anna Iana</v>
      </c>
      <c r="E4" s="4"/>
      <c r="F4" s="12" t="s">
        <v>45</v>
      </c>
      <c r="G4" s="13">
        <f>SUMPRODUCT(((B4:B7&gt;C4:C7)*1 + (B4:B7=C4:C7)*0.5) * (B4:B7&lt;&gt;"") * (C4:C7&lt;&gt;""))
</f>
        <v>2</v>
      </c>
      <c r="H4" s="13">
        <f>SUM(B4:B7)-SUM(C4:C7)</f>
        <v>1</v>
      </c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tr">
        <f>F4 &amp; " " &amp; F8</f>
        <v>Kateryna Iana</v>
      </c>
      <c r="B5" s="10">
        <v>2.0</v>
      </c>
      <c r="C5" s="10">
        <v>5.0</v>
      </c>
      <c r="D5" s="9" t="str">
        <f>F5 &amp; " " &amp; F7</f>
        <v>Veronika Olga</v>
      </c>
      <c r="E5" s="4"/>
      <c r="F5" s="12" t="s">
        <v>46</v>
      </c>
      <c r="G5" s="13">
        <f>(AND(B3&lt;&gt;"",C3&lt;&gt;"")*(B3&gt;C3))*1 + (AND(B3&lt;&gt;"",C3&lt;&gt;"")*(B3=C3))*0.5
+ (AND(B5&lt;&gt;"",C5&lt;&gt;"")*(B5&lt;C5))*1 + (AND(B5&lt;&gt;"",C5&lt;&gt;"")*(B5=C5))*0.5
+ (AND(B6&lt;&gt;"",C6&lt;&gt;"")*(B6&lt;C6))*1 + (AND(B6&lt;&gt;"",C6&lt;&gt;"")*(B6=C6))*0.5
+ (AND(B7&lt;&gt;"",C7&lt;&gt;"")*(B7&gt;C7))*1 + (AND(B7&lt;&gt;"",C7&lt;&gt;"")*(B7=C7))*0.5
</f>
        <v>4</v>
      </c>
      <c r="H5" s="13">
        <f>B3+SUM(C5:C6)+B7-C3-SUM(B5:B6)-C7</f>
        <v>11</v>
      </c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 t="str">
        <f>F4 &amp; " " &amp; F6</f>
        <v>Kateryna Anna</v>
      </c>
      <c r="B6" s="10">
        <v>2.0</v>
      </c>
      <c r="C6" s="10">
        <v>5.0</v>
      </c>
      <c r="D6" s="9" t="str">
        <f>F5 &amp; " " &amp; F8</f>
        <v>Veronika Iana</v>
      </c>
      <c r="E6" s="4"/>
      <c r="F6" s="12" t="s">
        <v>47</v>
      </c>
      <c r="G6" s="13">
        <f>(AND(B3&lt;&gt;"",C3&lt;&gt;"")*(B3&gt;C3))*1 + (AND(B3&lt;&gt;"",C3&lt;&gt;"")*(B3=C3))*0.5
+ (AND(B4&lt;&gt;"",C4&lt;&gt;"")*(B4&lt;C4))*1 + (AND(B4&lt;&gt;"",C4&lt;&gt;"")*(B4=C4))*0.5
+ (AND(B6&lt;&gt;"",C6&lt;&gt;"")*(B6&gt;C6))*1 + (AND(B6&lt;&gt;"",C6&lt;&gt;"")*(B6=C6))*0.5
+ (AND(B7&lt;&gt;"",C7&lt;&gt;"")*(B7&lt;C7))*1 + (AND(B7&lt;&gt;"",C7&lt;&gt;"")*(B7=C7))*0.5
</f>
        <v>1</v>
      </c>
      <c r="H6" s="13">
        <f>B3+C4+B6+C7-C3-B4-C6-B7</f>
        <v>-9</v>
      </c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 t="str">
        <f>F4 &amp; " " &amp; F5</f>
        <v>Kateryna Veronika</v>
      </c>
      <c r="B7" s="10">
        <v>5.0</v>
      </c>
      <c r="C7" s="10">
        <v>1.0</v>
      </c>
      <c r="D7" s="9" t="str">
        <f>F6 &amp; " " &amp; F7</f>
        <v>Anna Olga</v>
      </c>
      <c r="E7" s="4"/>
      <c r="F7" s="12" t="s">
        <v>48</v>
      </c>
      <c r="G7" s="13">
        <f>(AND(B3&lt;&gt;"",C3&lt;&gt;"")*(B3&lt;C3))*1 + (AND(B3&lt;&gt;"",C3&lt;&gt;"")*(B3=C3))*0.5
+ (AND(B4&lt;&gt;"",C4&lt;&gt;"")*(B4&gt;C4))*1 + (AND(B4&lt;&gt;"",C4&lt;&gt;"")*(B4=C4))*0.5
+ (AND(B5&lt;&gt;"",C5&lt;&gt;"")*(B5&lt;C5))*1 + (AND(B5&lt;&gt;"",C5&lt;&gt;"")*(B5=C5))*0.5
+ (AND(B7&lt;&gt;"",C7&lt;&gt;"")*(B7&lt;C7))*1 + (AND(B7&lt;&gt;"",C7&lt;&gt;"")*(B7=C7))*0.5
</f>
        <v>2</v>
      </c>
      <c r="H7" s="13">
        <f>C3+B4+C5+C7-B3-C4-B5-B7</f>
        <v>1</v>
      </c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4"/>
      <c r="B8" s="4"/>
      <c r="C8" s="4"/>
      <c r="D8" s="4"/>
      <c r="E8" s="4"/>
      <c r="F8" s="12" t="s">
        <v>49</v>
      </c>
      <c r="G8" s="13">
        <f>(AND(B3&lt;&gt;"",C3&lt;&gt;"")*(B3&lt;C3))*1 + (AND(B3&lt;&gt;"",C3&lt;&gt;"")*(B3=C3))*0.5
+ (AND(B4&lt;&gt;"",C4&lt;&gt;"")*(B4&lt;C4))*1 + (AND(B4&lt;&gt;"",C4&lt;&gt;"")*(B4=C4))*0.5
+ (AND(B5&lt;&gt;"",C5&lt;&gt;"")*(B5&gt;C5))*1 + (AND(B5&lt;&gt;"",C5&lt;&gt;"")*(B5=C5))*0.5
+ (AND(B6&lt;&gt;"",C6&lt;&gt;"")*(B6&lt;C6))*1 + (AND(B6&lt;&gt;"",C6&lt;&gt;"")*(B6=C6))*0.5
</f>
        <v>1</v>
      </c>
      <c r="H8" s="13">
        <f>SUM(C3:C4)+B5+C6-SUM(B3:B4)-C5-B6</f>
        <v>-4</v>
      </c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4"/>
      <c r="B9" s="4"/>
      <c r="C9" s="4"/>
      <c r="D9" s="4"/>
      <c r="E9" s="4"/>
      <c r="F9" s="15"/>
      <c r="G9" s="15"/>
      <c r="H9" s="15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50</v>
      </c>
      <c r="B1" s="18" t="s">
        <v>51</v>
      </c>
      <c r="C1" s="18" t="s">
        <v>52</v>
      </c>
      <c r="D1" s="18" t="s">
        <v>53</v>
      </c>
      <c r="E1" s="18" t="s">
        <v>54</v>
      </c>
      <c r="F1" s="18" t="s">
        <v>55</v>
      </c>
      <c r="G1" s="18" t="s">
        <v>56</v>
      </c>
      <c r="H1" s="18" t="s">
        <v>57</v>
      </c>
    </row>
    <row r="2">
      <c r="A2" s="19" t="s">
        <v>58</v>
      </c>
      <c r="B2" s="20" t="str">
        <f t="array" ref="B2">INDIRECT("'"&amp;$A2&amp;"'!$F$5")</f>
        <v>Manuel</v>
      </c>
      <c r="C2" s="20" t="str">
        <f t="array" ref="C2">INDIRECT("'"&amp;$A2&amp;"'!$F$6")</f>
        <v>Armen</v>
      </c>
      <c r="D2" s="20" t="str">
        <f t="array" ref="D2">INDIRECT("'"&amp;$A2&amp;"'!$F$7")</f>
        <v>Vladlen</v>
      </c>
      <c r="E2" s="20" t="str">
        <f t="shared" ref="E2:E3" si="1">INDIRECT("'"&amp;$A2&amp;"'!$F$8")</f>
        <v>Markus</v>
      </c>
      <c r="F2" s="21">
        <f t="array" ref="F2">INDIRECT("'"&amp;$A2&amp;"'!$B$3")</f>
        <v>5</v>
      </c>
      <c r="G2" s="21">
        <f t="array" ref="G2">INDIRECT("'"&amp;$A2&amp;"'!$C$3")</f>
        <v>2</v>
      </c>
      <c r="H2" s="21">
        <f t="shared" ref="H2:H46" si="2">IF(OR(F2="",G2=""),"",IF(F2&gt;G2,1,IF(F2&lt;G2,0,0.5)))
</f>
        <v>1</v>
      </c>
    </row>
    <row r="3">
      <c r="A3" s="22" t="s">
        <v>58</v>
      </c>
      <c r="B3" s="20" t="str">
        <f t="shared" ref="B3:B6" si="3">INDIRECT("'"&amp;$A3&amp;"'!$F$4")</f>
        <v>Mauricio</v>
      </c>
      <c r="C3" s="20" t="str">
        <f t="array" ref="C3">INDIRECT("'"&amp;A3&amp;"'!$F$7")</f>
        <v>Vladlen</v>
      </c>
      <c r="D3" s="20" t="str">
        <f t="array" ref="D3">INDIRECT("'"&amp;$A3&amp;"'!$F$6")</f>
        <v>Armen</v>
      </c>
      <c r="E3" s="20" t="str">
        <f t="shared" si="1"/>
        <v>Markus</v>
      </c>
      <c r="F3" s="21">
        <f t="array" ref="F3">INDIRECT("'"&amp;$A3&amp;"'!$B$4")</f>
        <v>8</v>
      </c>
      <c r="G3" s="21">
        <f t="array" ref="G3">INDIRECT("'"&amp;$A3&amp;"'!$C$4")</f>
        <v>2</v>
      </c>
      <c r="H3" s="21">
        <f t="shared" si="2"/>
        <v>1</v>
      </c>
    </row>
    <row r="4">
      <c r="A4" s="22" t="s">
        <v>58</v>
      </c>
      <c r="B4" s="20" t="str">
        <f t="shared" si="3"/>
        <v>Mauricio</v>
      </c>
      <c r="C4" s="20" t="str">
        <f t="array" ref="C4">INDIRECT("'"&amp;A4&amp;"'!$F$8")</f>
        <v>Markus</v>
      </c>
      <c r="D4" s="20" t="str">
        <f t="shared" ref="D4:D5" si="4">INDIRECT("'"&amp;$A4&amp;"'!$F$5")</f>
        <v>Manuel</v>
      </c>
      <c r="E4" s="20" t="str">
        <f t="array" ref="E4">INDIRECT("'"&amp;$A4&amp;"'!$F$7")</f>
        <v>Vladlen</v>
      </c>
      <c r="F4" s="21">
        <f t="array" ref="F4">INDIRECT("'"&amp;$A4&amp;"'!$B$5")</f>
        <v>2</v>
      </c>
      <c r="G4" s="21">
        <f t="array" ref="G4">INDIRECT("'"&amp;$A4&amp;"'!$C$5")</f>
        <v>8</v>
      </c>
      <c r="H4" s="21">
        <f t="shared" si="2"/>
        <v>0</v>
      </c>
    </row>
    <row r="5">
      <c r="A5" s="22" t="s">
        <v>58</v>
      </c>
      <c r="B5" s="20" t="str">
        <f t="shared" si="3"/>
        <v>Mauricio</v>
      </c>
      <c r="C5" s="20" t="str">
        <f t="array" ref="C5">INDIRECT("'"&amp;A5&amp;"'!$F$6")</f>
        <v>Armen</v>
      </c>
      <c r="D5" s="20" t="str">
        <f t="shared" si="4"/>
        <v>Manuel</v>
      </c>
      <c r="E5" s="20" t="str">
        <f t="array" ref="E5">INDIRECT("'"&amp;$A5&amp;"'!$F$8")</f>
        <v>Markus</v>
      </c>
      <c r="F5" s="21">
        <f t="array" ref="F5">INDIRECT("'"&amp;$A5&amp;"'!$B$6")</f>
        <v>4</v>
      </c>
      <c r="G5" s="21">
        <f t="array" ref="G5">INDIRECT("'"&amp;$A5&amp;"'!$C$6")</f>
        <v>2</v>
      </c>
      <c r="H5" s="21">
        <f t="shared" si="2"/>
        <v>1</v>
      </c>
    </row>
    <row r="6">
      <c r="A6" s="23" t="s">
        <v>58</v>
      </c>
      <c r="B6" s="20" t="str">
        <f t="shared" si="3"/>
        <v>Mauricio</v>
      </c>
      <c r="C6" s="20" t="str">
        <f t="array" ref="C6">INDIRECT("'"&amp;A6&amp;"'!$F$5")</f>
        <v>Manuel</v>
      </c>
      <c r="D6" s="20" t="str">
        <f t="array" ref="D6">INDIRECT("'"&amp;$A6&amp;"'!$F$6")</f>
        <v>Armen</v>
      </c>
      <c r="E6" s="20" t="str">
        <f t="array" ref="E6">INDIRECT("'"&amp;$A6&amp;"'!$F$7")</f>
        <v>Vladlen</v>
      </c>
      <c r="F6" s="21">
        <f t="array" ref="F6">INDIRECT("'"&amp;$A6&amp;"'!$B$7")</f>
        <v>7</v>
      </c>
      <c r="G6" s="21">
        <f t="array" ref="G6">INDIRECT("'"&amp;$A6&amp;"'!$C$7")</f>
        <v>3</v>
      </c>
      <c r="H6" s="21">
        <f t="shared" si="2"/>
        <v>1</v>
      </c>
    </row>
    <row r="7">
      <c r="A7" s="19" t="s">
        <v>59</v>
      </c>
      <c r="B7" s="20" t="str">
        <f t="array" ref="B7">INDIRECT("'"&amp;$A7&amp;"'!$F$5")</f>
        <v>Ilya</v>
      </c>
      <c r="C7" s="20" t="str">
        <f t="array" ref="C7">INDIRECT("'"&amp;$A7&amp;"'!$F$6")</f>
        <v>Georgii</v>
      </c>
      <c r="D7" s="20" t="str">
        <f t="array" ref="D7">INDIRECT("'"&amp;$A7&amp;"'!$F$7")</f>
        <v>Farhan</v>
      </c>
      <c r="E7" s="20" t="str">
        <f t="shared" ref="E7:E8" si="5">INDIRECT("'"&amp;$A7&amp;"'!$F$8")</f>
        <v>Felix</v>
      </c>
      <c r="F7" s="21">
        <f t="array" ref="F7">INDIRECT("'"&amp;$A7&amp;"'!$B$3")</f>
        <v>3</v>
      </c>
      <c r="G7" s="21">
        <f t="array" ref="G7">INDIRECT("'"&amp;$A7&amp;"'!$C$3")</f>
        <v>3</v>
      </c>
      <c r="H7" s="21">
        <f t="shared" si="2"/>
        <v>0.5</v>
      </c>
    </row>
    <row r="8">
      <c r="A8" s="22" t="s">
        <v>59</v>
      </c>
      <c r="B8" s="20" t="str">
        <f t="shared" ref="B8:B11" si="6">INDIRECT("'"&amp;$A8&amp;"'!$F$4")</f>
        <v>LaiAo</v>
      </c>
      <c r="C8" s="20" t="str">
        <f t="array" ref="C8">INDIRECT("'"&amp;A8&amp;"'!$F$7")</f>
        <v>Farhan</v>
      </c>
      <c r="D8" s="20" t="str">
        <f t="array" ref="D8">INDIRECT("'"&amp;$A8&amp;"'!$F$6")</f>
        <v>Georgii</v>
      </c>
      <c r="E8" s="20" t="str">
        <f t="shared" si="5"/>
        <v>Felix</v>
      </c>
      <c r="F8" s="21">
        <f t="array" ref="F8">INDIRECT("'"&amp;$A8&amp;"'!$B$4")</f>
        <v>5</v>
      </c>
      <c r="G8" s="21">
        <f t="array" ref="G8">INDIRECT("'"&amp;$A8&amp;"'!$C$4")</f>
        <v>2</v>
      </c>
      <c r="H8" s="21">
        <f t="shared" si="2"/>
        <v>1</v>
      </c>
    </row>
    <row r="9">
      <c r="A9" s="22" t="s">
        <v>59</v>
      </c>
      <c r="B9" s="20" t="str">
        <f t="shared" si="6"/>
        <v>LaiAo</v>
      </c>
      <c r="C9" s="20" t="str">
        <f t="array" ref="C9">INDIRECT("'"&amp;A9&amp;"'!$F$8")</f>
        <v>Felix</v>
      </c>
      <c r="D9" s="20" t="str">
        <f t="shared" ref="D9:D10" si="7">INDIRECT("'"&amp;$A9&amp;"'!$F$5")</f>
        <v>Ilya</v>
      </c>
      <c r="E9" s="20" t="str">
        <f t="array" ref="E9">INDIRECT("'"&amp;$A9&amp;"'!$F$7")</f>
        <v>Farhan</v>
      </c>
      <c r="F9" s="21">
        <f t="array" ref="F9">INDIRECT("'"&amp;$A9&amp;"'!$B$5")</f>
        <v>3</v>
      </c>
      <c r="G9" s="21">
        <f t="array" ref="G9">INDIRECT("'"&amp;$A9&amp;"'!$C$5")</f>
        <v>5</v>
      </c>
      <c r="H9" s="21">
        <f t="shared" si="2"/>
        <v>0</v>
      </c>
    </row>
    <row r="10">
      <c r="A10" s="22" t="s">
        <v>59</v>
      </c>
      <c r="B10" s="20" t="str">
        <f t="shared" si="6"/>
        <v>LaiAo</v>
      </c>
      <c r="C10" s="20" t="str">
        <f t="array" ref="C10">INDIRECT("'"&amp;A10&amp;"'!$F$6")</f>
        <v>Georgii</v>
      </c>
      <c r="D10" s="20" t="str">
        <f t="shared" si="7"/>
        <v>Ilya</v>
      </c>
      <c r="E10" s="20" t="str">
        <f t="array" ref="E10">INDIRECT("'"&amp;$A10&amp;"'!$F$8")</f>
        <v>Felix</v>
      </c>
      <c r="F10" s="21">
        <f t="array" ref="F10">INDIRECT("'"&amp;$A10&amp;"'!$B$6")</f>
        <v>4</v>
      </c>
      <c r="G10" s="21">
        <f t="array" ref="G10">INDIRECT("'"&amp;$A10&amp;"'!$C$6")</f>
        <v>4</v>
      </c>
      <c r="H10" s="21">
        <f t="shared" si="2"/>
        <v>0.5</v>
      </c>
    </row>
    <row r="11">
      <c r="A11" s="23" t="s">
        <v>59</v>
      </c>
      <c r="B11" s="20" t="str">
        <f t="shared" si="6"/>
        <v>LaiAo</v>
      </c>
      <c r="C11" s="20" t="str">
        <f t="array" ref="C11">INDIRECT("'"&amp;A11&amp;"'!$F$5")</f>
        <v>Ilya</v>
      </c>
      <c r="D11" s="20" t="str">
        <f t="array" ref="D11">INDIRECT("'"&amp;$A11&amp;"'!$F$6")</f>
        <v>Georgii</v>
      </c>
      <c r="E11" s="20" t="str">
        <f t="array" ref="E11">INDIRECT("'"&amp;$A11&amp;"'!$F$7")</f>
        <v>Farhan</v>
      </c>
      <c r="F11" s="21">
        <f t="array" ref="F11">INDIRECT("'"&amp;$A11&amp;"'!$B$7")</f>
        <v>5</v>
      </c>
      <c r="G11" s="21">
        <f t="array" ref="G11">INDIRECT("'"&amp;$A11&amp;"'!$C$7")</f>
        <v>1</v>
      </c>
      <c r="H11" s="21">
        <f t="shared" si="2"/>
        <v>1</v>
      </c>
    </row>
    <row r="12">
      <c r="A12" s="19" t="s">
        <v>60</v>
      </c>
      <c r="B12" s="20" t="str">
        <f t="array" ref="B12">INDIRECT("'"&amp;$A12&amp;"'!$F$5")</f>
        <v>Arbab</v>
      </c>
      <c r="C12" s="20" t="str">
        <f t="array" ref="C12">INDIRECT("'"&amp;$A12&amp;"'!$F$6")</f>
        <v>Michael</v>
      </c>
      <c r="D12" s="20" t="str">
        <f t="array" ref="D12">INDIRECT("'"&amp;$A12&amp;"'!$F$7")</f>
        <v>Soumi</v>
      </c>
      <c r="E12" s="20" t="str">
        <f t="shared" ref="E12:E13" si="8">INDIRECT("'"&amp;$A12&amp;"'!$F$8")</f>
        <v>Stefan</v>
      </c>
      <c r="F12" s="21">
        <f t="array" ref="F12">INDIRECT("'"&amp;$A12&amp;"'!$B$3")</f>
        <v>6</v>
      </c>
      <c r="G12" s="21">
        <f t="array" ref="G12">INDIRECT("'"&amp;$A12&amp;"'!$C$3")</f>
        <v>6</v>
      </c>
      <c r="H12" s="21">
        <f t="shared" si="2"/>
        <v>0.5</v>
      </c>
    </row>
    <row r="13">
      <c r="A13" s="22" t="s">
        <v>60</v>
      </c>
      <c r="B13" s="20" t="str">
        <f t="shared" ref="B13:B16" si="9">INDIRECT("'"&amp;$A13&amp;"'!$F$4")</f>
        <v>Roland</v>
      </c>
      <c r="C13" s="20" t="str">
        <f t="array" ref="C13">INDIRECT("'"&amp;A13&amp;"'!$F$7")</f>
        <v>Soumi</v>
      </c>
      <c r="D13" s="20" t="str">
        <f t="array" ref="D13">INDIRECT("'"&amp;$A13&amp;"'!$F$6")</f>
        <v>Michael</v>
      </c>
      <c r="E13" s="20" t="str">
        <f t="shared" si="8"/>
        <v>Stefan</v>
      </c>
      <c r="F13" s="21">
        <f t="array" ref="F13">INDIRECT("'"&amp;$A13&amp;"'!$B$4")</f>
        <v>4</v>
      </c>
      <c r="G13" s="21">
        <f t="array" ref="G13">INDIRECT("'"&amp;$A13&amp;"'!$C$4")</f>
        <v>4</v>
      </c>
      <c r="H13" s="21">
        <f t="shared" si="2"/>
        <v>0.5</v>
      </c>
    </row>
    <row r="14">
      <c r="A14" s="22" t="s">
        <v>60</v>
      </c>
      <c r="B14" s="20" t="str">
        <f t="shared" si="9"/>
        <v>Roland</v>
      </c>
      <c r="C14" s="20" t="str">
        <f t="array" ref="C14">INDIRECT("'"&amp;A14&amp;"'!$F$8")</f>
        <v>Stefan</v>
      </c>
      <c r="D14" s="20" t="str">
        <f t="shared" ref="D14:D15" si="10">INDIRECT("'"&amp;$A14&amp;"'!$F$5")</f>
        <v>Arbab</v>
      </c>
      <c r="E14" s="20" t="str">
        <f t="array" ref="E14">INDIRECT("'"&amp;$A14&amp;"'!$F$7")</f>
        <v>Soumi</v>
      </c>
      <c r="F14" s="21">
        <f t="array" ref="F14">INDIRECT("'"&amp;$A14&amp;"'!$B$5")</f>
        <v>2</v>
      </c>
      <c r="G14" s="21">
        <f t="array" ref="G14">INDIRECT("'"&amp;$A14&amp;"'!$C$5")</f>
        <v>5</v>
      </c>
      <c r="H14" s="21">
        <f t="shared" si="2"/>
        <v>0</v>
      </c>
    </row>
    <row r="15">
      <c r="A15" s="22" t="s">
        <v>60</v>
      </c>
      <c r="B15" s="20" t="str">
        <f t="shared" si="9"/>
        <v>Roland</v>
      </c>
      <c r="C15" s="20" t="str">
        <f t="array" ref="C15">INDIRECT("'"&amp;A15&amp;"'!$F$6")</f>
        <v>Michael</v>
      </c>
      <c r="D15" s="20" t="str">
        <f t="shared" si="10"/>
        <v>Arbab</v>
      </c>
      <c r="E15" s="20" t="str">
        <f t="array" ref="E15">INDIRECT("'"&amp;$A15&amp;"'!$F$8")</f>
        <v>Stefan</v>
      </c>
      <c r="F15" s="21">
        <f t="array" ref="F15">INDIRECT("'"&amp;$A15&amp;"'!$B$6")</f>
        <v>6</v>
      </c>
      <c r="G15" s="21">
        <f t="array" ref="G15">INDIRECT("'"&amp;$A15&amp;"'!$C$6")</f>
        <v>2</v>
      </c>
      <c r="H15" s="21">
        <f t="shared" si="2"/>
        <v>1</v>
      </c>
    </row>
    <row r="16">
      <c r="A16" s="23" t="s">
        <v>60</v>
      </c>
      <c r="B16" s="20" t="str">
        <f t="shared" si="9"/>
        <v>Roland</v>
      </c>
      <c r="C16" s="20" t="str">
        <f t="array" ref="C16">INDIRECT("'"&amp;A16&amp;"'!$F$5")</f>
        <v>Arbab</v>
      </c>
      <c r="D16" s="20" t="str">
        <f t="array" ref="D16">INDIRECT("'"&amp;$A16&amp;"'!$F$6")</f>
        <v>Michael</v>
      </c>
      <c r="E16" s="20" t="str">
        <f t="array" ref="E16">INDIRECT("'"&amp;$A16&amp;"'!$F$7")</f>
        <v>Soumi</v>
      </c>
      <c r="F16" s="21">
        <f t="array" ref="F16">INDIRECT("'"&amp;$A16&amp;"'!$B$7")</f>
        <v>4</v>
      </c>
      <c r="G16" s="21">
        <f t="array" ref="G16">INDIRECT("'"&amp;$A16&amp;"'!$C$7")</f>
        <v>5</v>
      </c>
      <c r="H16" s="21">
        <f t="shared" si="2"/>
        <v>0</v>
      </c>
    </row>
    <row r="17">
      <c r="A17" s="19" t="s">
        <v>61</v>
      </c>
      <c r="B17" s="20" t="str">
        <f t="array" ref="B17">INDIRECT("'"&amp;$A17&amp;"'!$F$5")</f>
        <v>Octavian</v>
      </c>
      <c r="C17" s="20" t="str">
        <f t="array" ref="C17">INDIRECT("'"&amp;$A17&amp;"'!$F$6")</f>
        <v>JanPatrick</v>
      </c>
      <c r="D17" s="20" t="str">
        <f t="array" ref="D17">INDIRECT("'"&amp;$A17&amp;"'!$F$7")</f>
        <v>Agustin</v>
      </c>
      <c r="E17" s="20" t="str">
        <f t="shared" ref="E17:E18" si="11">INDIRECT("'"&amp;$A17&amp;"'!$F$8")</f>
        <v>Cesar</v>
      </c>
      <c r="F17" s="21">
        <f t="array" ref="F17">INDIRECT("'"&amp;$A17&amp;"'!$B$3")</f>
        <v>4</v>
      </c>
      <c r="G17" s="21">
        <f t="array" ref="G17">INDIRECT("'"&amp;$A17&amp;"'!$C$3")</f>
        <v>3</v>
      </c>
      <c r="H17" s="21">
        <f t="shared" si="2"/>
        <v>1</v>
      </c>
    </row>
    <row r="18">
      <c r="A18" s="22" t="s">
        <v>61</v>
      </c>
      <c r="B18" s="20" t="str">
        <f t="shared" ref="B18:B21" si="12">INDIRECT("'"&amp;$A18&amp;"'!$F$4")</f>
        <v>Eva</v>
      </c>
      <c r="C18" s="20" t="str">
        <f t="array" ref="C18">INDIRECT("'"&amp;A18&amp;"'!$F$7")</f>
        <v>Agustin</v>
      </c>
      <c r="D18" s="20" t="str">
        <f t="array" ref="D18">INDIRECT("'"&amp;$A18&amp;"'!$F$6")</f>
        <v>JanPatrick</v>
      </c>
      <c r="E18" s="20" t="str">
        <f t="shared" si="11"/>
        <v>Cesar</v>
      </c>
      <c r="F18" s="21">
        <f t="array" ref="F18">INDIRECT("'"&amp;$A18&amp;"'!$B$4")</f>
        <v>4</v>
      </c>
      <c r="G18" s="21">
        <f t="array" ref="G18">INDIRECT("'"&amp;$A18&amp;"'!$C$4")</f>
        <v>3</v>
      </c>
      <c r="H18" s="21">
        <f t="shared" si="2"/>
        <v>1</v>
      </c>
    </row>
    <row r="19">
      <c r="A19" s="22" t="s">
        <v>61</v>
      </c>
      <c r="B19" s="20" t="str">
        <f t="shared" si="12"/>
        <v>Eva</v>
      </c>
      <c r="C19" s="20" t="str">
        <f t="array" ref="C19">INDIRECT("'"&amp;A19&amp;"'!$F$8")</f>
        <v>Cesar</v>
      </c>
      <c r="D19" s="20" t="str">
        <f t="shared" ref="D19:D20" si="13">INDIRECT("'"&amp;$A19&amp;"'!$F$5")</f>
        <v>Octavian</v>
      </c>
      <c r="E19" s="20" t="str">
        <f t="array" ref="E19">INDIRECT("'"&amp;$A19&amp;"'!$F$7")</f>
        <v>Agustin</v>
      </c>
      <c r="F19" s="21">
        <f t="array" ref="F19">INDIRECT("'"&amp;$A19&amp;"'!$B$5")</f>
        <v>1</v>
      </c>
      <c r="G19" s="21">
        <f t="array" ref="G19">INDIRECT("'"&amp;$A19&amp;"'!$C$5")</f>
        <v>5</v>
      </c>
      <c r="H19" s="21">
        <f t="shared" si="2"/>
        <v>0</v>
      </c>
    </row>
    <row r="20">
      <c r="A20" s="22" t="s">
        <v>61</v>
      </c>
      <c r="B20" s="20" t="str">
        <f t="shared" si="12"/>
        <v>Eva</v>
      </c>
      <c r="C20" s="20" t="str">
        <f t="array" ref="C20">INDIRECT("'"&amp;A20&amp;"'!$F$6")</f>
        <v>JanPatrick</v>
      </c>
      <c r="D20" s="20" t="str">
        <f t="shared" si="13"/>
        <v>Octavian</v>
      </c>
      <c r="E20" s="20" t="str">
        <f t="array" ref="E20">INDIRECT("'"&amp;$A20&amp;"'!$F$8")</f>
        <v>Cesar</v>
      </c>
      <c r="F20" s="21">
        <f t="array" ref="F20">INDIRECT("'"&amp;$A20&amp;"'!$B$6")</f>
        <v>4</v>
      </c>
      <c r="G20" s="21">
        <f t="array" ref="G20">INDIRECT("'"&amp;$A20&amp;"'!$C$6")</f>
        <v>5</v>
      </c>
      <c r="H20" s="21">
        <f t="shared" si="2"/>
        <v>0</v>
      </c>
    </row>
    <row r="21">
      <c r="A21" s="23" t="s">
        <v>61</v>
      </c>
      <c r="B21" s="20" t="str">
        <f t="shared" si="12"/>
        <v>Eva</v>
      </c>
      <c r="C21" s="20" t="str">
        <f t="array" ref="C21">INDIRECT("'"&amp;A21&amp;"'!$F$5")</f>
        <v>Octavian</v>
      </c>
      <c r="D21" s="20" t="str">
        <f t="array" ref="D21">INDIRECT("'"&amp;$A21&amp;"'!$F$6")</f>
        <v>JanPatrick</v>
      </c>
      <c r="E21" s="20" t="str">
        <f t="array" ref="E21">INDIRECT("'"&amp;$A21&amp;"'!$F$7")</f>
        <v>Agustin</v>
      </c>
      <c r="F21" s="21">
        <f t="array" ref="F21">INDIRECT("'"&amp;$A21&amp;"'!$B$7")</f>
        <v>6</v>
      </c>
      <c r="G21" s="21">
        <f t="array" ref="G21">INDIRECT("'"&amp;$A21&amp;"'!$C$7")</f>
        <v>1</v>
      </c>
      <c r="H21" s="21">
        <f t="shared" si="2"/>
        <v>1</v>
      </c>
    </row>
    <row r="22">
      <c r="A22" s="19" t="s">
        <v>62</v>
      </c>
      <c r="B22" s="20" t="str">
        <f t="array" ref="B22">INDIRECT("'"&amp;$A22&amp;"'!$F$5")</f>
        <v>Lisa-Sophie</v>
      </c>
      <c r="C22" s="20" t="str">
        <f t="array" ref="C22">INDIRECT("'"&amp;$A22&amp;"'!$F$6")</f>
        <v>Manuela</v>
      </c>
      <c r="D22" s="20" t="str">
        <f t="array" ref="D22">INDIRECT("'"&amp;$A22&amp;"'!$F$7")</f>
        <v>Daria</v>
      </c>
      <c r="E22" s="20" t="str">
        <f t="shared" ref="E22:E23" si="14">INDIRECT("'"&amp;$A22&amp;"'!$F$8")</f>
        <v>Steffen</v>
      </c>
      <c r="F22" s="21">
        <f t="array" ref="F22">INDIRECT("'"&amp;$A22&amp;"'!$B$3")</f>
        <v>5</v>
      </c>
      <c r="G22" s="21">
        <f t="array" ref="G22">INDIRECT("'"&amp;$A22&amp;"'!$C$3")</f>
        <v>4</v>
      </c>
      <c r="H22" s="21">
        <f t="shared" si="2"/>
        <v>1</v>
      </c>
    </row>
    <row r="23">
      <c r="A23" s="22" t="s">
        <v>62</v>
      </c>
      <c r="B23" s="20" t="str">
        <f t="shared" ref="B23:B26" si="15">INDIRECT("'"&amp;$A23&amp;"'!$F$4")</f>
        <v>Markus</v>
      </c>
      <c r="C23" s="20" t="str">
        <f t="array" ref="C23">INDIRECT("'"&amp;A23&amp;"'!$F$7")</f>
        <v>Daria</v>
      </c>
      <c r="D23" s="20" t="str">
        <f t="array" ref="D23">INDIRECT("'"&amp;$A23&amp;"'!$F$6")</f>
        <v>Manuela</v>
      </c>
      <c r="E23" s="20" t="str">
        <f t="shared" si="14"/>
        <v>Steffen</v>
      </c>
      <c r="F23" s="21">
        <f t="array" ref="F23">INDIRECT("'"&amp;$A23&amp;"'!$B$4")</f>
        <v>3</v>
      </c>
      <c r="G23" s="21">
        <f t="array" ref="G23">INDIRECT("'"&amp;$A23&amp;"'!$C$4")</f>
        <v>7</v>
      </c>
      <c r="H23" s="21">
        <f t="shared" si="2"/>
        <v>0</v>
      </c>
    </row>
    <row r="24">
      <c r="A24" s="22" t="s">
        <v>62</v>
      </c>
      <c r="B24" s="20" t="str">
        <f t="shared" si="15"/>
        <v>Markus</v>
      </c>
      <c r="C24" s="20" t="str">
        <f t="array" ref="C24">INDIRECT("'"&amp;A24&amp;"'!$F$8")</f>
        <v>Steffen</v>
      </c>
      <c r="D24" s="20" t="str">
        <f t="shared" ref="D24:D25" si="16">INDIRECT("'"&amp;$A24&amp;"'!$F$5")</f>
        <v>Lisa-Sophie</v>
      </c>
      <c r="E24" s="20" t="str">
        <f t="array" ref="E24">INDIRECT("'"&amp;$A24&amp;"'!$F$7")</f>
        <v>Daria</v>
      </c>
      <c r="F24" s="21">
        <f t="array" ref="F24">INDIRECT("'"&amp;$A24&amp;"'!$B$5")</f>
        <v>1</v>
      </c>
      <c r="G24" s="21">
        <f t="array" ref="G24">INDIRECT("'"&amp;$A24&amp;"'!$C$5")</f>
        <v>4</v>
      </c>
      <c r="H24" s="21">
        <f t="shared" si="2"/>
        <v>0</v>
      </c>
    </row>
    <row r="25">
      <c r="A25" s="22" t="s">
        <v>62</v>
      </c>
      <c r="B25" s="20" t="str">
        <f t="shared" si="15"/>
        <v>Markus</v>
      </c>
      <c r="C25" s="20" t="str">
        <f t="array" ref="C25">INDIRECT("'"&amp;A25&amp;"'!$F$6")</f>
        <v>Manuela</v>
      </c>
      <c r="D25" s="20" t="str">
        <f t="shared" si="16"/>
        <v>Lisa-Sophie</v>
      </c>
      <c r="E25" s="20" t="str">
        <f t="array" ref="E25">INDIRECT("'"&amp;$A25&amp;"'!$F$8")</f>
        <v>Steffen</v>
      </c>
      <c r="F25" s="21">
        <f t="array" ref="F25">INDIRECT("'"&amp;$A25&amp;"'!$B$6")</f>
        <v>2</v>
      </c>
      <c r="G25" s="21">
        <f t="array" ref="G25">INDIRECT("'"&amp;$A25&amp;"'!$C$6")</f>
        <v>7</v>
      </c>
      <c r="H25" s="21">
        <f t="shared" si="2"/>
        <v>0</v>
      </c>
    </row>
    <row r="26">
      <c r="A26" s="23" t="s">
        <v>62</v>
      </c>
      <c r="B26" s="20" t="str">
        <f t="shared" si="15"/>
        <v>Markus</v>
      </c>
      <c r="C26" s="20" t="str">
        <f t="array" ref="C26">INDIRECT("'"&amp;A26&amp;"'!$F$5")</f>
        <v>Lisa-Sophie</v>
      </c>
      <c r="D26" s="20" t="str">
        <f t="array" ref="D26">INDIRECT("'"&amp;$A26&amp;"'!$F$6")</f>
        <v>Manuela</v>
      </c>
      <c r="E26" s="20" t="str">
        <f t="array" ref="E26">INDIRECT("'"&amp;$A26&amp;"'!$F$7")</f>
        <v>Daria</v>
      </c>
      <c r="F26" s="21">
        <f t="array" ref="F26">INDIRECT("'"&amp;$A26&amp;"'!$B$7")</f>
        <v>5</v>
      </c>
      <c r="G26" s="21">
        <f t="array" ref="G26">INDIRECT("'"&amp;$A26&amp;"'!$C$7")</f>
        <v>3</v>
      </c>
      <c r="H26" s="21">
        <f t="shared" si="2"/>
        <v>1</v>
      </c>
    </row>
    <row r="27">
      <c r="A27" s="19" t="s">
        <v>63</v>
      </c>
      <c r="B27" s="24" t="str">
        <f t="array" ref="B27">INDIRECT("'"&amp;$A27&amp;"'!$F$5")</f>
        <v>Margarita</v>
      </c>
      <c r="C27" s="24" t="str">
        <f t="array" ref="C27">INDIRECT("'"&amp;$A27&amp;"'!$F$6")</f>
        <v>Hesham</v>
      </c>
      <c r="D27" s="24" t="str">
        <f t="array" ref="D27">INDIRECT("'"&amp;$A27&amp;"'!$F$7")</f>
        <v>Lucy</v>
      </c>
      <c r="E27" s="24" t="str">
        <f t="shared" ref="E27:E28" si="17">INDIRECT("'"&amp;$A27&amp;"'!$F$8")</f>
        <v>Maria K.</v>
      </c>
      <c r="F27" s="25">
        <f t="array" ref="F27">INDIRECT("'"&amp;$A27&amp;"'!$B$3")</f>
        <v>4</v>
      </c>
      <c r="G27" s="25">
        <f t="array" ref="G27">INDIRECT("'"&amp;$A27&amp;"'!$C$3")</f>
        <v>3</v>
      </c>
      <c r="H27" s="25">
        <f t="shared" si="2"/>
        <v>1</v>
      </c>
    </row>
    <row r="28">
      <c r="A28" s="22" t="s">
        <v>63</v>
      </c>
      <c r="B28" s="24" t="str">
        <f t="shared" ref="B28:B31" si="18">INDIRECT("'"&amp;$A28&amp;"'!$F$4")</f>
        <v>Ahmed</v>
      </c>
      <c r="C28" s="24" t="str">
        <f t="array" ref="C28">INDIRECT("'"&amp;A28&amp;"'!$F$7")</f>
        <v>Lucy</v>
      </c>
      <c r="D28" s="24" t="str">
        <f t="array" ref="D28">INDIRECT("'"&amp;$A28&amp;"'!$F$6")</f>
        <v>Hesham</v>
      </c>
      <c r="E28" s="24" t="str">
        <f t="shared" si="17"/>
        <v>Maria K.</v>
      </c>
      <c r="F28" s="25">
        <f t="array" ref="F28">INDIRECT("'"&amp;$A28&amp;"'!$B$4")</f>
        <v>5</v>
      </c>
      <c r="G28" s="25">
        <f t="array" ref="G28">INDIRECT("'"&amp;$A28&amp;"'!$C$4")</f>
        <v>4</v>
      </c>
      <c r="H28" s="25">
        <f t="shared" si="2"/>
        <v>1</v>
      </c>
    </row>
    <row r="29">
      <c r="A29" s="22" t="s">
        <v>63</v>
      </c>
      <c r="B29" s="24" t="str">
        <f t="shared" si="18"/>
        <v>Ahmed</v>
      </c>
      <c r="C29" s="24" t="str">
        <f t="array" ref="C29">INDIRECT("'"&amp;A29&amp;"'!$F$8")</f>
        <v>Maria K.</v>
      </c>
      <c r="D29" s="24" t="str">
        <f t="shared" ref="D29:D30" si="19">INDIRECT("'"&amp;$A29&amp;"'!$F$5")</f>
        <v>Margarita</v>
      </c>
      <c r="E29" s="24" t="str">
        <f t="array" ref="E29">INDIRECT("'"&amp;$A29&amp;"'!$F$7")</f>
        <v>Lucy</v>
      </c>
      <c r="F29" s="25">
        <f t="array" ref="F29">INDIRECT("'"&amp;$A29&amp;"'!$B$5")</f>
        <v>4</v>
      </c>
      <c r="G29" s="25">
        <f t="array" ref="G29">INDIRECT("'"&amp;$A29&amp;"'!$C$5")</f>
        <v>7</v>
      </c>
      <c r="H29" s="25">
        <f t="shared" si="2"/>
        <v>0</v>
      </c>
    </row>
    <row r="30">
      <c r="A30" s="22" t="s">
        <v>63</v>
      </c>
      <c r="B30" s="24" t="str">
        <f t="shared" si="18"/>
        <v>Ahmed</v>
      </c>
      <c r="C30" s="24" t="str">
        <f t="array" ref="C30">INDIRECT("'"&amp;A30&amp;"'!$F$6")</f>
        <v>Hesham</v>
      </c>
      <c r="D30" s="24" t="str">
        <f t="shared" si="19"/>
        <v>Margarita</v>
      </c>
      <c r="E30" s="24" t="str">
        <f t="array" ref="E30">INDIRECT("'"&amp;$A30&amp;"'!$F$8")</f>
        <v>Maria K.</v>
      </c>
      <c r="F30" s="25">
        <f t="array" ref="F30">INDIRECT("'"&amp;$A30&amp;"'!$B$6")</f>
        <v>5</v>
      </c>
      <c r="G30" s="25">
        <f t="array" ref="G30">INDIRECT("'"&amp;$A30&amp;"'!$C$6")</f>
        <v>5</v>
      </c>
      <c r="H30" s="25">
        <f t="shared" si="2"/>
        <v>0.5</v>
      </c>
    </row>
    <row r="31">
      <c r="A31" s="23" t="s">
        <v>63</v>
      </c>
      <c r="B31" s="24" t="str">
        <f t="shared" si="18"/>
        <v>Ahmed</v>
      </c>
      <c r="C31" s="24" t="str">
        <f t="array" ref="C31">INDIRECT("'"&amp;A31&amp;"'!$F$5")</f>
        <v>Margarita</v>
      </c>
      <c r="D31" s="24" t="str">
        <f t="array" ref="D31">INDIRECT("'"&amp;$A31&amp;"'!$F$6")</f>
        <v>Hesham</v>
      </c>
      <c r="E31" s="24" t="str">
        <f t="array" ref="E31">INDIRECT("'"&amp;$A31&amp;"'!$F$7")</f>
        <v>Lucy</v>
      </c>
      <c r="F31" s="25">
        <f t="array" ref="F31">INDIRECT("'"&amp;$A31&amp;"'!$B$7")</f>
        <v>5</v>
      </c>
      <c r="G31" s="25">
        <f t="array" ref="G31">INDIRECT("'"&amp;$A31&amp;"'!$C$7")</f>
        <v>3</v>
      </c>
      <c r="H31" s="25">
        <f t="shared" si="2"/>
        <v>1</v>
      </c>
    </row>
    <row r="32">
      <c r="A32" s="19" t="s">
        <v>64</v>
      </c>
      <c r="B32" s="20" t="str">
        <f t="array" ref="B32">INDIRECT("'"&amp;$A32&amp;"'!$F$5")</f>
        <v>Nico</v>
      </c>
      <c r="C32" s="20" t="str">
        <f t="array" ref="C32">INDIRECT("'"&amp;$A32&amp;"'!$F$6")</f>
        <v>Varvara</v>
      </c>
      <c r="D32" s="20" t="str">
        <f t="array" ref="D32">INDIRECT("'"&amp;$A32&amp;"'!$F$7")</f>
        <v>Aleksei</v>
      </c>
      <c r="E32" s="20" t="str">
        <f t="shared" ref="E32:E33" si="20">INDIRECT("'"&amp;$A32&amp;"'!$F$8")</f>
        <v>Stephanie</v>
      </c>
      <c r="F32" s="21" t="str">
        <f t="array" ref="F32">INDIRECT("'"&amp;$A32&amp;"'!$B$3")</f>
        <v/>
      </c>
      <c r="G32" s="21" t="str">
        <f t="array" ref="G32">INDIRECT("'"&amp;$A32&amp;"'!$C$3")</f>
        <v/>
      </c>
      <c r="H32" s="21" t="str">
        <f t="shared" si="2"/>
        <v/>
      </c>
    </row>
    <row r="33">
      <c r="A33" s="22" t="s">
        <v>64</v>
      </c>
      <c r="B33" s="20" t="str">
        <f t="shared" ref="B33:B36" si="21">INDIRECT("'"&amp;$A33&amp;"'!$F$4")</f>
        <v>Maria L.</v>
      </c>
      <c r="C33" s="20" t="str">
        <f t="array" ref="C33">INDIRECT("'"&amp;A33&amp;"'!$F$7")</f>
        <v>Aleksei</v>
      </c>
      <c r="D33" s="20" t="str">
        <f t="array" ref="D33">INDIRECT("'"&amp;$A33&amp;"'!$F$6")</f>
        <v>Varvara</v>
      </c>
      <c r="E33" s="20" t="str">
        <f t="shared" si="20"/>
        <v>Stephanie</v>
      </c>
      <c r="F33" s="21" t="str">
        <f t="array" ref="F33">INDIRECT("'"&amp;$A33&amp;"'!$B$4")</f>
        <v/>
      </c>
      <c r="G33" s="21" t="str">
        <f t="array" ref="G33">INDIRECT("'"&amp;$A33&amp;"'!$C$4")</f>
        <v/>
      </c>
      <c r="H33" s="21" t="str">
        <f t="shared" si="2"/>
        <v/>
      </c>
    </row>
    <row r="34">
      <c r="A34" s="22" t="s">
        <v>64</v>
      </c>
      <c r="B34" s="20" t="str">
        <f t="shared" si="21"/>
        <v>Maria L.</v>
      </c>
      <c r="C34" s="20" t="str">
        <f t="array" ref="C34">INDIRECT("'"&amp;A34&amp;"'!$F$8")</f>
        <v>Stephanie</v>
      </c>
      <c r="D34" s="20" t="str">
        <f t="shared" ref="D34:D35" si="22">INDIRECT("'"&amp;$A34&amp;"'!$F$5")</f>
        <v>Nico</v>
      </c>
      <c r="E34" s="20" t="str">
        <f t="array" ref="E34">INDIRECT("'"&amp;$A34&amp;"'!$F$7")</f>
        <v>Aleksei</v>
      </c>
      <c r="F34" s="21" t="str">
        <f t="array" ref="F34">INDIRECT("'"&amp;$A34&amp;"'!$B$5")</f>
        <v/>
      </c>
      <c r="G34" s="21" t="str">
        <f t="array" ref="G34">INDIRECT("'"&amp;$A34&amp;"'!$C$5")</f>
        <v/>
      </c>
      <c r="H34" s="21" t="str">
        <f t="shared" si="2"/>
        <v/>
      </c>
    </row>
    <row r="35">
      <c r="A35" s="22" t="s">
        <v>64</v>
      </c>
      <c r="B35" s="20" t="str">
        <f t="shared" si="21"/>
        <v>Maria L.</v>
      </c>
      <c r="C35" s="20" t="str">
        <f t="array" ref="C35">INDIRECT("'"&amp;A35&amp;"'!$F$6")</f>
        <v>Varvara</v>
      </c>
      <c r="D35" s="20" t="str">
        <f t="shared" si="22"/>
        <v>Nico</v>
      </c>
      <c r="E35" s="20" t="str">
        <f t="array" ref="E35">INDIRECT("'"&amp;$A35&amp;"'!$F$8")</f>
        <v>Stephanie</v>
      </c>
      <c r="F35" s="21" t="str">
        <f t="array" ref="F35">INDIRECT("'"&amp;$A35&amp;"'!$B$6")</f>
        <v/>
      </c>
      <c r="G35" s="21" t="str">
        <f t="array" ref="G35">INDIRECT("'"&amp;$A35&amp;"'!$C$6")</f>
        <v/>
      </c>
      <c r="H35" s="21" t="str">
        <f t="shared" si="2"/>
        <v/>
      </c>
    </row>
    <row r="36">
      <c r="A36" s="23" t="s">
        <v>64</v>
      </c>
      <c r="B36" s="20" t="str">
        <f t="shared" si="21"/>
        <v>Maria L.</v>
      </c>
      <c r="C36" s="20" t="str">
        <f t="array" ref="C36">INDIRECT("'"&amp;A36&amp;"'!$F$5")</f>
        <v>Nico</v>
      </c>
      <c r="D36" s="20" t="str">
        <f t="array" ref="D36">INDIRECT("'"&amp;$A36&amp;"'!$F$6")</f>
        <v>Varvara</v>
      </c>
      <c r="E36" s="20" t="str">
        <f t="array" ref="E36">INDIRECT("'"&amp;$A36&amp;"'!$F$7")</f>
        <v>Aleksei</v>
      </c>
      <c r="F36" s="21">
        <f t="array" ref="F36">INDIRECT("'"&amp;$A36&amp;"'!$B$7")</f>
        <v>6</v>
      </c>
      <c r="G36" s="21">
        <f t="array" ref="G36">INDIRECT("'"&amp;$A36&amp;"'!$C$7")</f>
        <v>3</v>
      </c>
      <c r="H36" s="21">
        <f t="shared" si="2"/>
        <v>1</v>
      </c>
    </row>
    <row r="37">
      <c r="A37" s="19" t="s">
        <v>65</v>
      </c>
      <c r="B37" s="20" t="str">
        <f t="array" ref="B37">INDIRECT("'"&amp;$A37&amp;"'!$F$5")</f>
        <v>Elena</v>
      </c>
      <c r="C37" s="20" t="str">
        <f t="array" ref="C37">INDIRECT("'"&amp;$A37&amp;"'!$F$6")</f>
        <v>Bernando</v>
      </c>
      <c r="D37" s="20" t="str">
        <f t="array" ref="D37">INDIRECT("'"&amp;$A37&amp;"'!$F$7")</f>
        <v>Benjamin</v>
      </c>
      <c r="E37" s="20" t="str">
        <f t="shared" ref="E37:E38" si="23">INDIRECT("'"&amp;$A37&amp;"'!$F$8")</f>
        <v>Sofia</v>
      </c>
      <c r="F37" s="21">
        <f t="array" ref="F37">INDIRECT("'"&amp;$A37&amp;"'!$B$3")</f>
        <v>7</v>
      </c>
      <c r="G37" s="21">
        <f t="array" ref="G37">INDIRECT("'"&amp;$A37&amp;"'!$C$3")</f>
        <v>2</v>
      </c>
      <c r="H37" s="21">
        <f t="shared" si="2"/>
        <v>1</v>
      </c>
    </row>
    <row r="38">
      <c r="A38" s="22" t="s">
        <v>65</v>
      </c>
      <c r="B38" s="20" t="str">
        <f t="shared" ref="B38:B41" si="24">INDIRECT("'"&amp;$A38&amp;"'!$F$4")</f>
        <v>Valeriia</v>
      </c>
      <c r="C38" s="20" t="str">
        <f t="array" ref="C38">INDIRECT("'"&amp;A38&amp;"'!$F$7")</f>
        <v>Benjamin</v>
      </c>
      <c r="D38" s="20" t="str">
        <f t="array" ref="D38">INDIRECT("'"&amp;$A38&amp;"'!$F$6")</f>
        <v>Bernando</v>
      </c>
      <c r="E38" s="20" t="str">
        <f t="shared" si="23"/>
        <v>Sofia</v>
      </c>
      <c r="F38" s="21">
        <f t="array" ref="F38">INDIRECT("'"&amp;$A38&amp;"'!$B$4")</f>
        <v>3</v>
      </c>
      <c r="G38" s="21">
        <f t="array" ref="G38">INDIRECT("'"&amp;$A38&amp;"'!$C$4")</f>
        <v>3</v>
      </c>
      <c r="H38" s="21">
        <f t="shared" si="2"/>
        <v>0.5</v>
      </c>
    </row>
    <row r="39">
      <c r="A39" s="22" t="s">
        <v>65</v>
      </c>
      <c r="B39" s="20" t="str">
        <f t="shared" si="24"/>
        <v>Valeriia</v>
      </c>
      <c r="C39" s="20" t="str">
        <f t="array" ref="C39">INDIRECT("'"&amp;A39&amp;"'!$F$8")</f>
        <v>Sofia</v>
      </c>
      <c r="D39" s="20" t="str">
        <f t="shared" ref="D39:D40" si="25">INDIRECT("'"&amp;$A39&amp;"'!$F$5")</f>
        <v>Elena</v>
      </c>
      <c r="E39" s="20" t="str">
        <f t="array" ref="E39">INDIRECT("'"&amp;$A39&amp;"'!$F$7")</f>
        <v>Benjamin</v>
      </c>
      <c r="F39" s="21">
        <f t="array" ref="F39">INDIRECT("'"&amp;$A39&amp;"'!$B$5")</f>
        <v>0</v>
      </c>
      <c r="G39" s="21">
        <f t="array" ref="G39">INDIRECT("'"&amp;$A39&amp;"'!$C$5")</f>
        <v>9</v>
      </c>
      <c r="H39" s="21">
        <f t="shared" si="2"/>
        <v>0</v>
      </c>
    </row>
    <row r="40">
      <c r="A40" s="22" t="s">
        <v>65</v>
      </c>
      <c r="B40" s="20" t="str">
        <f t="shared" si="24"/>
        <v>Valeriia</v>
      </c>
      <c r="C40" s="20" t="str">
        <f t="array" ref="C40">INDIRECT("'"&amp;A40&amp;"'!$F$6")</f>
        <v>Bernando</v>
      </c>
      <c r="D40" s="20" t="str">
        <f t="shared" si="25"/>
        <v>Elena</v>
      </c>
      <c r="E40" s="20" t="str">
        <f t="array" ref="E40">INDIRECT("'"&amp;$A40&amp;"'!$F$8")</f>
        <v>Sofia</v>
      </c>
      <c r="F40" s="21">
        <f t="array" ref="F40">INDIRECT("'"&amp;$A40&amp;"'!$B$6")</f>
        <v>6</v>
      </c>
      <c r="G40" s="21">
        <f t="array" ref="G40">INDIRECT("'"&amp;$A40&amp;"'!$C$6")</f>
        <v>3</v>
      </c>
      <c r="H40" s="21">
        <f t="shared" si="2"/>
        <v>1</v>
      </c>
    </row>
    <row r="41">
      <c r="A41" s="23" t="s">
        <v>65</v>
      </c>
      <c r="B41" s="20" t="str">
        <f t="shared" si="24"/>
        <v>Valeriia</v>
      </c>
      <c r="C41" s="20" t="str">
        <f t="array" ref="C41">INDIRECT("'"&amp;A41&amp;"'!$F$5")</f>
        <v>Elena</v>
      </c>
      <c r="D41" s="20" t="str">
        <f t="array" ref="D41">INDIRECT("'"&amp;$A41&amp;"'!$F$6")</f>
        <v>Bernando</v>
      </c>
      <c r="E41" s="20" t="str">
        <f t="array" ref="E41">INDIRECT("'"&amp;$A41&amp;"'!$F$7")</f>
        <v>Benjamin</v>
      </c>
      <c r="F41" s="21">
        <f t="array" ref="F41">INDIRECT("'"&amp;$A41&amp;"'!$B$7")</f>
        <v>1</v>
      </c>
      <c r="G41" s="21">
        <f t="array" ref="G41">INDIRECT("'"&amp;$A41&amp;"'!$C$7")</f>
        <v>6</v>
      </c>
      <c r="H41" s="21">
        <f t="shared" si="2"/>
        <v>0</v>
      </c>
    </row>
    <row r="42">
      <c r="A42" s="19" t="s">
        <v>66</v>
      </c>
      <c r="B42" s="24" t="str">
        <f t="array" ref="B42">INDIRECT("'"&amp;$A42&amp;"'!$F$5")</f>
        <v>Veronika</v>
      </c>
      <c r="C42" s="24" t="str">
        <f t="array" ref="C42">INDIRECT("'"&amp;$A42&amp;"'!$F$6")</f>
        <v>Anna</v>
      </c>
      <c r="D42" s="24" t="str">
        <f t="array" ref="D42">INDIRECT("'"&amp;$A42&amp;"'!$F$7")</f>
        <v>Olga</v>
      </c>
      <c r="E42" s="26" t="str">
        <f t="shared" ref="E42:E43" si="26">INDIRECT("'"&amp;$A42&amp;"'!$F$8")</f>
        <v>Iana</v>
      </c>
      <c r="F42" s="25">
        <f t="array" ref="F42">INDIRECT("'"&amp;$A42&amp;"'!$B$3")</f>
        <v>4</v>
      </c>
      <c r="G42" s="25">
        <f t="array" ref="G42">INDIRECT("'"&amp;$A42&amp;"'!$C$3")</f>
        <v>3</v>
      </c>
      <c r="H42" s="25">
        <f t="shared" si="2"/>
        <v>1</v>
      </c>
    </row>
    <row r="43">
      <c r="A43" s="22" t="s">
        <v>66</v>
      </c>
      <c r="B43" s="24" t="str">
        <f t="shared" ref="B43:B46" si="27">INDIRECT("'"&amp;$A43&amp;"'!$F$4")</f>
        <v>Kateryna</v>
      </c>
      <c r="C43" s="24" t="str">
        <f t="array" ref="C43">INDIRECT("'"&amp;A43&amp;"'!$F$7")</f>
        <v>Olga</v>
      </c>
      <c r="D43" s="24" t="str">
        <f t="array" ref="D43">INDIRECT("'"&amp;$A43&amp;"'!$F$6")</f>
        <v>Anna</v>
      </c>
      <c r="E43" s="26" t="str">
        <f t="shared" si="26"/>
        <v>Iana</v>
      </c>
      <c r="F43" s="25">
        <f t="array" ref="F43">INDIRECT("'"&amp;$A43&amp;"'!$B$4")</f>
        <v>5</v>
      </c>
      <c r="G43" s="25">
        <f t="array" ref="G43">INDIRECT("'"&amp;$A43&amp;"'!$C$4")</f>
        <v>2</v>
      </c>
      <c r="H43" s="25">
        <f t="shared" si="2"/>
        <v>1</v>
      </c>
    </row>
    <row r="44">
      <c r="A44" s="22" t="s">
        <v>66</v>
      </c>
      <c r="B44" s="24" t="str">
        <f t="shared" si="27"/>
        <v>Kateryna</v>
      </c>
      <c r="C44" s="24" t="str">
        <f t="array" ref="C44">INDIRECT("'"&amp;A44&amp;"'!$F$8")</f>
        <v>Iana</v>
      </c>
      <c r="D44" s="24" t="str">
        <f t="shared" ref="D44:D45" si="28">INDIRECT("'"&amp;$A44&amp;"'!$F$5")</f>
        <v>Veronika</v>
      </c>
      <c r="E44" s="26" t="str">
        <f t="array" ref="E44">INDIRECT("'"&amp;$A44&amp;"'!$F$7")</f>
        <v>Olga</v>
      </c>
      <c r="F44" s="25">
        <f t="array" ref="F44">INDIRECT("'"&amp;$A44&amp;"'!$B$5")</f>
        <v>2</v>
      </c>
      <c r="G44" s="25">
        <f t="array" ref="G44">INDIRECT("'"&amp;$A44&amp;"'!$C$5")</f>
        <v>5</v>
      </c>
      <c r="H44" s="25">
        <f t="shared" si="2"/>
        <v>0</v>
      </c>
    </row>
    <row r="45">
      <c r="A45" s="22" t="s">
        <v>66</v>
      </c>
      <c r="B45" s="24" t="str">
        <f t="shared" si="27"/>
        <v>Kateryna</v>
      </c>
      <c r="C45" s="24" t="str">
        <f t="array" ref="C45">INDIRECT("'"&amp;A45&amp;"'!$F$6")</f>
        <v>Anna</v>
      </c>
      <c r="D45" s="24" t="str">
        <f t="shared" si="28"/>
        <v>Veronika</v>
      </c>
      <c r="E45" s="26" t="str">
        <f t="array" ref="E45">INDIRECT("'"&amp;$A45&amp;"'!$F$8")</f>
        <v>Iana</v>
      </c>
      <c r="F45" s="25">
        <f t="array" ref="F45">INDIRECT("'"&amp;$A45&amp;"'!$B$6")</f>
        <v>2</v>
      </c>
      <c r="G45" s="25">
        <f t="array" ref="G45">INDIRECT("'"&amp;$A45&amp;"'!$C$6")</f>
        <v>5</v>
      </c>
      <c r="H45" s="25">
        <f t="shared" si="2"/>
        <v>0</v>
      </c>
    </row>
    <row r="46">
      <c r="A46" s="23" t="s">
        <v>66</v>
      </c>
      <c r="B46" s="27" t="str">
        <f t="shared" si="27"/>
        <v>Kateryna</v>
      </c>
      <c r="C46" s="27" t="str">
        <f t="array" ref="C46">INDIRECT("'"&amp;A46&amp;"'!$F$5")</f>
        <v>Veronika</v>
      </c>
      <c r="D46" s="27" t="str">
        <f t="array" ref="D46">INDIRECT("'"&amp;$A46&amp;"'!$F$6")</f>
        <v>Anna</v>
      </c>
      <c r="E46" s="28" t="str">
        <f t="array" ref="E46">INDIRECT("'"&amp;$A46&amp;"'!$F$7")</f>
        <v>Olga</v>
      </c>
      <c r="F46" s="25">
        <f t="array" ref="F46">INDIRECT("'"&amp;$A46&amp;"'!$B$7")</f>
        <v>5</v>
      </c>
      <c r="G46" s="25">
        <f t="array" ref="G46">INDIRECT("'"&amp;$A46&amp;"'!$C$7")</f>
        <v>1</v>
      </c>
      <c r="H46" s="25">
        <f t="shared" si="2"/>
        <v>1</v>
      </c>
    </row>
  </sheetData>
  <drawing r:id="rId1"/>
</worksheet>
</file>